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990"/>
  </bookViews>
  <sheets>
    <sheet name="飞控发" sheetId="1" r:id="rId1"/>
    <sheet name="飞控收" sheetId="4" r:id="rId2"/>
    <sheet name="数据定义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7" i="3" l="1"/>
</calcChain>
</file>

<file path=xl/comments1.xml><?xml version="1.0" encoding="utf-8"?>
<comments xmlns="http://schemas.openxmlformats.org/spreadsheetml/2006/main">
  <authors>
    <author>作者</author>
  </authors>
  <commentList>
    <comment ref="E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这里写的16进制或10进制，是指表格举例用的数字是哪种进制</t>
        </r>
      </text>
    </comment>
  </commentList>
</comments>
</file>

<file path=xl/sharedStrings.xml><?xml version="1.0" encoding="utf-8"?>
<sst xmlns="http://schemas.openxmlformats.org/spreadsheetml/2006/main" count="538" uniqueCount="277">
  <si>
    <t>数据</t>
    <phoneticPr fontId="1" type="noConversion"/>
  </si>
  <si>
    <t>校验</t>
    <phoneticPr fontId="1" type="noConversion"/>
  </si>
  <si>
    <t>帧</t>
    <phoneticPr fontId="1" type="noConversion"/>
  </si>
  <si>
    <t>STATUS</t>
    <phoneticPr fontId="1" type="noConversion"/>
  </si>
  <si>
    <t>SUM</t>
    <phoneticPr fontId="1" type="noConversion"/>
  </si>
  <si>
    <t>SENSER</t>
    <phoneticPr fontId="1" type="noConversion"/>
  </si>
  <si>
    <t>SUM</t>
    <phoneticPr fontId="1" type="noConversion"/>
  </si>
  <si>
    <t>RCDATA</t>
    <phoneticPr fontId="1" type="noConversion"/>
  </si>
  <si>
    <t>int16 THR
int16 YAW
int16 ROL
int16 PIT
int16 AUX1
int16 AUX2
int16 AUX3
int16 AUX4
int16 AUX5
int16 AUX6</t>
    <phoneticPr fontId="1" type="noConversion"/>
  </si>
  <si>
    <t>AAAA</t>
  </si>
  <si>
    <t>AAAA</t>
    <phoneticPr fontId="1" type="noConversion"/>
  </si>
  <si>
    <t>AAAF</t>
    <phoneticPr fontId="1" type="noConversion"/>
  </si>
  <si>
    <t>PID1</t>
    <phoneticPr fontId="1" type="noConversion"/>
  </si>
  <si>
    <t>PID2</t>
    <phoneticPr fontId="1" type="noConversion"/>
  </si>
  <si>
    <t>PID3</t>
    <phoneticPr fontId="1" type="noConversion"/>
  </si>
  <si>
    <t>GPSDATA</t>
    <phoneticPr fontId="1" type="noConversion"/>
  </si>
  <si>
    <t>LEN</t>
    <phoneticPr fontId="1" type="noConversion"/>
  </si>
  <si>
    <t>01</t>
    <phoneticPr fontId="1" type="noConversion"/>
  </si>
  <si>
    <t>02</t>
    <phoneticPr fontId="1" type="noConversion"/>
  </si>
  <si>
    <t>04</t>
    <phoneticPr fontId="1" type="noConversion"/>
  </si>
  <si>
    <t>05</t>
  </si>
  <si>
    <t>10</t>
    <phoneticPr fontId="1" type="noConversion"/>
  </si>
  <si>
    <t>11</t>
    <phoneticPr fontId="1" type="noConversion"/>
  </si>
  <si>
    <t>12</t>
    <phoneticPr fontId="1" type="noConversion"/>
  </si>
  <si>
    <t>13</t>
    <phoneticPr fontId="1" type="noConversion"/>
  </si>
  <si>
    <t>14</t>
    <phoneticPr fontId="1" type="noConversion"/>
  </si>
  <si>
    <t>15</t>
    <phoneticPr fontId="1" type="noConversion"/>
  </si>
  <si>
    <t>CONMAND</t>
    <phoneticPr fontId="1" type="noConversion"/>
  </si>
  <si>
    <t>03</t>
    <phoneticPr fontId="1" type="noConversion"/>
  </si>
  <si>
    <t>05</t>
    <phoneticPr fontId="1" type="noConversion"/>
  </si>
  <si>
    <t>07</t>
  </si>
  <si>
    <t>08</t>
  </si>
  <si>
    <t>09</t>
  </si>
  <si>
    <t>0A</t>
    <phoneticPr fontId="1" type="noConversion"/>
  </si>
  <si>
    <t>0B</t>
    <phoneticPr fontId="1" type="noConversion"/>
  </si>
  <si>
    <t>YES</t>
  </si>
  <si>
    <t>YES</t>
    <phoneticPr fontId="1" type="noConversion"/>
  </si>
  <si>
    <t>NO</t>
    <phoneticPr fontId="1" type="noConversion"/>
  </si>
  <si>
    <t>PID4</t>
  </si>
  <si>
    <t>PID5</t>
  </si>
  <si>
    <t>PID6</t>
  </si>
  <si>
    <t>PID2</t>
    <phoneticPr fontId="1" type="noConversion"/>
  </si>
  <si>
    <t>经度</t>
    <phoneticPr fontId="1" type="noConversion"/>
  </si>
  <si>
    <t>纬度</t>
    <phoneticPr fontId="1" type="noConversion"/>
  </si>
  <si>
    <t>高度</t>
    <phoneticPr fontId="1" type="noConversion"/>
  </si>
  <si>
    <t>数据类型</t>
    <phoneticPr fontId="1" type="noConversion"/>
  </si>
  <si>
    <t>数据长度</t>
    <phoneticPr fontId="1" type="noConversion"/>
  </si>
  <si>
    <t>执行动作</t>
    <phoneticPr fontId="1" type="noConversion"/>
  </si>
  <si>
    <t>备注</t>
    <phoneticPr fontId="1" type="noConversion"/>
  </si>
  <si>
    <t>int16</t>
    <phoneticPr fontId="1" type="noConversion"/>
  </si>
  <si>
    <t>数据单位</t>
    <phoneticPr fontId="1" type="noConversion"/>
  </si>
  <si>
    <t>cm</t>
    <phoneticPr fontId="1" type="noConversion"/>
  </si>
  <si>
    <t>度（*10）</t>
    <phoneticPr fontId="1" type="noConversion"/>
  </si>
  <si>
    <t>cm/s</t>
    <phoneticPr fontId="1" type="noConversion"/>
  </si>
  <si>
    <t>uint16</t>
    <phoneticPr fontId="1" type="noConversion"/>
  </si>
  <si>
    <t>int32</t>
    <phoneticPr fontId="1" type="noConversion"/>
  </si>
  <si>
    <t>与正北角度，顺时针为正，正负180</t>
    <phoneticPr fontId="1" type="noConversion"/>
  </si>
  <si>
    <t>当前位置信息</t>
    <phoneticPr fontId="1" type="noConversion"/>
  </si>
  <si>
    <t>信息</t>
    <phoneticPr fontId="1" type="noConversion"/>
  </si>
  <si>
    <t>航点信息</t>
    <phoneticPr fontId="1" type="noConversion"/>
  </si>
  <si>
    <t>ACK</t>
    <phoneticPr fontId="1" type="noConversion"/>
  </si>
  <si>
    <t>uint16 Votage*100
uint16 Current*100</t>
    <phoneticPr fontId="1" type="noConversion"/>
  </si>
  <si>
    <t>POWER</t>
    <phoneticPr fontId="1" type="noConversion"/>
  </si>
  <si>
    <t>飞行模式</t>
    <phoneticPr fontId="1" type="noConversion"/>
  </si>
  <si>
    <t>姿态</t>
    <phoneticPr fontId="1" type="noConversion"/>
  </si>
  <si>
    <t>定高</t>
    <phoneticPr fontId="1" type="noConversion"/>
  </si>
  <si>
    <t>定点</t>
    <phoneticPr fontId="1" type="noConversion"/>
  </si>
  <si>
    <t>航线</t>
    <phoneticPr fontId="1" type="noConversion"/>
  </si>
  <si>
    <t>降落</t>
    <phoneticPr fontId="1" type="noConversion"/>
  </si>
  <si>
    <t>返航</t>
    <phoneticPr fontId="1" type="noConversion"/>
  </si>
  <si>
    <t>02</t>
    <phoneticPr fontId="1" type="noConversion"/>
  </si>
  <si>
    <t>无</t>
    <phoneticPr fontId="1" type="noConversion"/>
  </si>
  <si>
    <t>01</t>
    <phoneticPr fontId="1" type="noConversion"/>
  </si>
  <si>
    <t>03</t>
    <phoneticPr fontId="1" type="noConversion"/>
  </si>
  <si>
    <t>00</t>
    <phoneticPr fontId="1" type="noConversion"/>
  </si>
  <si>
    <t>21</t>
    <phoneticPr fontId="1" type="noConversion"/>
  </si>
  <si>
    <t>20</t>
    <phoneticPr fontId="1" type="noConversion"/>
  </si>
  <si>
    <t>int16 PID4_P
int16 PID4_I
int16 PID4_D
int16 PID5_P
int16 PID5_I
int16 PID5_D
int16 PID6_P
int16 PID6_I
int16 PID6_D</t>
    <phoneticPr fontId="1" type="noConversion"/>
  </si>
  <si>
    <t>int16 PID7_P
int16 PID7_I
int16 PID7_D
int16 PID8_P
int16 PID8_I
int16 PID8_D
int16 PID9_P
int16 PID9_I
int16 PID9_D</t>
    <phoneticPr fontId="1" type="noConversion"/>
  </si>
  <si>
    <t>int16 PID10_P
int16 PID10_I
int16 PID10_D
int16 PID11_P
int16 PID11_I
int16 PID11_D
int16 PID12_P
int16 PID12_I
int16 PID12_D</t>
    <phoneticPr fontId="1" type="noConversion"/>
  </si>
  <si>
    <t>int16 PID1_P
int16 PID1_I
int16 PID1_D
int16 PID2_P
int16 PID2_I
int16 PID2_D
int16 PID3_P
int16 PID3_I
int16 PID3_D</t>
    <phoneticPr fontId="1" type="noConversion"/>
  </si>
  <si>
    <t>int16 PID16_P
int16 PID16_I
int16 PID16_D
int16 PID17_P
int16 PID17_I
int16 PID17_D
int16 PID18_P
int16 PID18_I
int16 PID18_D</t>
    <phoneticPr fontId="1" type="noConversion"/>
  </si>
  <si>
    <t>int16 PID13_P
int16 PID13_I
int16 PID13_D
int16 PID14_P
int16 PID14_I
int16 PID14_D
int16 PID15_P
int16 PID15_I
int16 PID15_D</t>
    <phoneticPr fontId="1" type="noConversion"/>
  </si>
  <si>
    <t>FLY
MODEL</t>
    <phoneticPr fontId="1" type="noConversion"/>
  </si>
  <si>
    <t>飞机姿态等基本信息</t>
    <phoneticPr fontId="1" type="noConversion"/>
  </si>
  <si>
    <t>飞机传感器数据</t>
    <phoneticPr fontId="1" type="noConversion"/>
  </si>
  <si>
    <t>飞机收到的控制数据</t>
    <phoneticPr fontId="1" type="noConversion"/>
  </si>
  <si>
    <t>机载GPS 信息</t>
    <phoneticPr fontId="1" type="noConversion"/>
  </si>
  <si>
    <t>uint16 PWM_MOTO12345678</t>
    <phoneticPr fontId="1" type="noConversion"/>
  </si>
  <si>
    <t>MOTO</t>
    <phoneticPr fontId="1" type="noConversion"/>
  </si>
  <si>
    <t>06</t>
    <phoneticPr fontId="1" type="noConversion"/>
  </si>
  <si>
    <t>SUM</t>
    <phoneticPr fontId="1" type="noConversion"/>
  </si>
  <si>
    <t>马达PWM(范围0-
1000)</t>
    <phoneticPr fontId="1" type="noConversion"/>
  </si>
  <si>
    <t>PID数据帧1</t>
    <phoneticPr fontId="1" type="noConversion"/>
  </si>
  <si>
    <t>PID数据帧2</t>
  </si>
  <si>
    <t>PID数据帧3</t>
  </si>
  <si>
    <t>PID数据帧4</t>
  </si>
  <si>
    <t>PID数据帧5</t>
  </si>
  <si>
    <t>PID数据帧6</t>
  </si>
  <si>
    <t>uint8 CMD1</t>
    <phoneticPr fontId="1" type="noConversion"/>
  </si>
  <si>
    <t>uint8 CMD2</t>
    <phoneticPr fontId="1" type="noConversion"/>
  </si>
  <si>
    <t>int8 AUX1_LOW_MODEL
int8 AUX1_MID_MODEL
int8 AUX1_HIG_MODEL
int8 AUX2_LOW_MODEL
int8 AUX2_MID_MODEL
int8 AUX2_HIG_MODEL
int8 AUX3_LOW_MODEL
int8 AUX3_MID_MODEL
int8 AUX3_HIG_MODEL</t>
    <phoneticPr fontId="1" type="noConversion"/>
  </si>
  <si>
    <t>VER</t>
    <phoneticPr fontId="1" type="noConversion"/>
  </si>
  <si>
    <t>00</t>
    <phoneticPr fontId="1" type="noConversion"/>
  </si>
  <si>
    <t>SUM</t>
    <phoneticPr fontId="1" type="noConversion"/>
  </si>
  <si>
    <t>uint8  HardwareType硬件种类
uint16 HardwareVER*100硬件版本
uint16 SoftwareVER*100软件版本
uint16 ProtocolVER*100协议版本
uint16 BootloaderVER*100</t>
    <phoneticPr fontId="1" type="noConversion"/>
  </si>
  <si>
    <t>硬件种类 HardwareType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</si>
  <si>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</si>
  <si>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</si>
  <si>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</si>
  <si>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20</t>
    <phoneticPr fontId="1" type="noConversion"/>
  </si>
  <si>
    <t>uint8</t>
    <phoneticPr fontId="1" type="noConversion"/>
  </si>
  <si>
    <t>FP_NUM</t>
    <phoneticPr fontId="1" type="noConversion"/>
  </si>
  <si>
    <t>飞控已有航点数量</t>
    <phoneticPr fontId="1" type="noConversion"/>
  </si>
  <si>
    <t>uing16 FP_NUM</t>
    <phoneticPr fontId="1" type="noConversion"/>
  </si>
  <si>
    <t>21</t>
    <phoneticPr fontId="1" type="noConversion"/>
  </si>
  <si>
    <t>11</t>
    <phoneticPr fontId="1" type="noConversion"/>
  </si>
  <si>
    <t>FP</t>
    <phoneticPr fontId="1" type="noConversion"/>
  </si>
  <si>
    <t>航点信息</t>
    <phoneticPr fontId="1" type="noConversion"/>
  </si>
  <si>
    <t>READ_FP</t>
    <phoneticPr fontId="1" type="noConversion"/>
  </si>
  <si>
    <t>uint16 FP_CNT</t>
    <phoneticPr fontId="1" type="noConversion"/>
  </si>
  <si>
    <t>读取第CNT个航点信息</t>
    <phoneticPr fontId="1" type="noConversion"/>
  </si>
  <si>
    <t>写入航点信息</t>
    <phoneticPr fontId="1" type="noConversion"/>
  </si>
  <si>
    <t>uint8</t>
    <phoneticPr fontId="1" type="noConversion"/>
  </si>
  <si>
    <t>序号</t>
    <phoneticPr fontId="1" type="noConversion"/>
  </si>
  <si>
    <t>经度</t>
    <phoneticPr fontId="1" type="noConversion"/>
  </si>
  <si>
    <t>uint32</t>
    <phoneticPr fontId="1" type="noConversion"/>
  </si>
  <si>
    <t>纬度</t>
    <phoneticPr fontId="1" type="noConversion"/>
  </si>
  <si>
    <t>相对HOME点的高度</t>
    <phoneticPr fontId="1" type="noConversion"/>
  </si>
  <si>
    <t>执行动作参数1</t>
    <phoneticPr fontId="1" type="noConversion"/>
  </si>
  <si>
    <t>执行动作参数2</t>
    <phoneticPr fontId="1" type="noConversion"/>
  </si>
  <si>
    <t>uint8</t>
    <phoneticPr fontId="1" type="noConversion"/>
  </si>
  <si>
    <t>执行动作参数3</t>
    <phoneticPr fontId="1" type="noConversion"/>
  </si>
  <si>
    <t>执行动作参数4</t>
    <phoneticPr fontId="1" type="noConversion"/>
  </si>
  <si>
    <t>至下一点的水平速度</t>
    <phoneticPr fontId="1" type="noConversion"/>
  </si>
  <si>
    <t>至下一点的垂直速度</t>
    <phoneticPr fontId="1" type="noConversion"/>
  </si>
  <si>
    <t>uint16</t>
    <phoneticPr fontId="1" type="noConversion"/>
  </si>
  <si>
    <t>至下一点时的朝向</t>
    <phoneticPr fontId="1" type="noConversion"/>
  </si>
  <si>
    <t>数据单位</t>
    <phoneticPr fontId="1" type="noConversion"/>
  </si>
  <si>
    <t>动作</t>
    <phoneticPr fontId="1" type="noConversion"/>
  </si>
  <si>
    <t>参数1</t>
    <phoneticPr fontId="1" type="noConversion"/>
  </si>
  <si>
    <t>参数2</t>
    <phoneticPr fontId="1" type="noConversion"/>
  </si>
  <si>
    <t>参数3</t>
    <phoneticPr fontId="1" type="noConversion"/>
  </si>
  <si>
    <t>参数4</t>
    <phoneticPr fontId="1" type="noConversion"/>
  </si>
  <si>
    <t>版本信息</t>
    <phoneticPr fontId="1" type="noConversion"/>
  </si>
  <si>
    <t>OTHER_HARDWARE</t>
    <phoneticPr fontId="1" type="noConversion"/>
  </si>
  <si>
    <t>F0</t>
    <phoneticPr fontId="1" type="noConversion"/>
  </si>
  <si>
    <t>CHECK</t>
  </si>
  <si>
    <t>uint8  FREAM_HEAD 帧头
uint8  CHECK_SUM 和校验</t>
    <phoneticPr fontId="1" type="noConversion"/>
  </si>
  <si>
    <t>F1</t>
    <phoneticPr fontId="1" type="noConversion"/>
  </si>
  <si>
    <t>USER_DATA</t>
    <phoneticPr fontId="1" type="noConversion"/>
  </si>
  <si>
    <t>用户数据</t>
    <phoneticPr fontId="1" type="noConversion"/>
  </si>
  <si>
    <t>自定义</t>
    <phoneticPr fontId="1" type="noConversion"/>
  </si>
  <si>
    <t>EF</t>
    <phoneticPr fontId="1" type="noConversion"/>
  </si>
  <si>
    <t>比如要返回PID1数据帧的校验数据，FREAM_HEAD=0x10，CHECK_SUM=接收到PID1数据帧计算出的SUM</t>
    <phoneticPr fontId="1" type="noConversion"/>
  </si>
  <si>
    <t>定位状态</t>
    <phoneticPr fontId="1" type="noConversion"/>
  </si>
  <si>
    <t>卫星数量</t>
    <phoneticPr fontId="1" type="noConversion"/>
  </si>
  <si>
    <t>航点动作</t>
    <phoneticPr fontId="1" type="noConversion"/>
  </si>
  <si>
    <t>参见数据定义-&gt;当前位置信息</t>
    <phoneticPr fontId="1" type="noConversion"/>
  </si>
  <si>
    <t>参见数据定义-&gt;航点信息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</si>
  <si>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</si>
  <si>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</si>
  <si>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</si>
  <si>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</si>
  <si>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</si>
  <si>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</si>
  <si>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</si>
  <si>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</si>
  <si>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FA</t>
    <phoneticPr fontId="1" type="noConversion"/>
  </si>
  <si>
    <t>*10000000</t>
    <phoneticPr fontId="1" type="noConversion"/>
  </si>
  <si>
    <t>IAP</t>
    <phoneticPr fontId="1" type="noConversion"/>
  </si>
  <si>
    <t>IAP功能</t>
    <phoneticPr fontId="1" type="noConversion"/>
  </si>
  <si>
    <t>返回校验</t>
    <phoneticPr fontId="1" type="noConversion"/>
  </si>
  <si>
    <t>进入IAP</t>
    <phoneticPr fontId="1" type="noConversion"/>
  </si>
  <si>
    <t>1：飞机断电，短接串口RX、TX，飞机重新上电。</t>
    <phoneticPr fontId="1" type="noConversion"/>
  </si>
  <si>
    <t>uint16 BOOT_STA</t>
    <phoneticPr fontId="1" type="noConversion"/>
  </si>
  <si>
    <t>2：上位机发送IAP数据帧（AAAFF0数据帧），并BOOT_STA=0xFFFA。</t>
    <phoneticPr fontId="1" type="noConversion"/>
  </si>
  <si>
    <t>立即进入IAP功能：
BOOT_STA=0xFFFA</t>
    <phoneticPr fontId="1" type="noConversion"/>
  </si>
  <si>
    <t>飞行控制数据(仅用于微型飞机，无刷飞机请用航模遥控控制）</t>
    <phoneticPr fontId="1" type="noConversion"/>
  </si>
  <si>
    <t>匿名开拓者微型四轴</t>
    <phoneticPr fontId="1" type="noConversion"/>
  </si>
  <si>
    <t>匿名挑战者微型六轴</t>
    <phoneticPr fontId="1" type="noConversion"/>
  </si>
  <si>
    <t>匿名8轴</t>
    <phoneticPr fontId="1" type="noConversion"/>
  </si>
  <si>
    <t>匿名领航者飞控</t>
    <phoneticPr fontId="1" type="noConversion"/>
  </si>
  <si>
    <t>匿名平衡车</t>
    <phoneticPr fontId="1" type="noConversion"/>
  </si>
  <si>
    <t>SENSER2</t>
    <phoneticPr fontId="1" type="noConversion"/>
  </si>
  <si>
    <t>▲SUM等于从该数据帧第一字节开始，也就是帧头开始，至该帧数据的最后一字节所有字节的和，只保留低八位，高位舍去。
▲协议中长度字节LEN表示该数据帧内包含数据的字节总长度，不包括帧头、功能字、长度字节和最后的校验位，只是数据的字节长度和。比如该帧数据内容为3个int16型数据，那么LEN等于6
▲返回校验是YES的，飞控在收到该帧数据后，需要立即返回CHECK数据帧，也就是AAAAEF数据帧。
▲若使用HID方式进行通信，推荐数据包长度64字节，每个数据包第一字节表示本包数据有效数据的长度，从1到63.</t>
    <phoneticPr fontId="1" type="noConversion"/>
  </si>
  <si>
    <t>协议版本：V4.01</t>
    <phoneticPr fontId="1" type="noConversion"/>
  </si>
  <si>
    <t>int32 ALT_BAR(推荐为cm单位)
uint16 ALT_CSB(超声波高度cm)</t>
    <phoneticPr fontId="1" type="noConversion"/>
  </si>
  <si>
    <t>LNG</t>
    <phoneticPr fontId="1" type="noConversion"/>
  </si>
  <si>
    <t>LAT</t>
    <phoneticPr fontId="1" type="noConversion"/>
  </si>
  <si>
    <t>回航角</t>
    <phoneticPr fontId="1" type="noConversion"/>
  </si>
  <si>
    <t>正负180</t>
    <phoneticPr fontId="1" type="noConversion"/>
  </si>
  <si>
    <t>int16 SPEED_ROL
int16 SPEED_PIT
int16 SPEED_Z（单位cm）</t>
    <phoneticPr fontId="1" type="noConversion"/>
  </si>
  <si>
    <t>10</t>
    <phoneticPr fontId="1" type="noConversion"/>
  </si>
  <si>
    <t>匿名数传</t>
    <phoneticPr fontId="1" type="noConversion"/>
  </si>
  <si>
    <t>匿名遥控2.0</t>
    <phoneticPr fontId="1" type="noConversion"/>
  </si>
  <si>
    <t>MSG</t>
    <phoneticPr fontId="1" type="noConversion"/>
  </si>
  <si>
    <t>uint8_t MSG_ID
uint8_t MSG_DATA</t>
    <phoneticPr fontId="1" type="noConversion"/>
  </si>
  <si>
    <t>EE</t>
    <phoneticPr fontId="1" type="noConversion"/>
  </si>
  <si>
    <t>30</t>
    <phoneticPr fontId="1" type="noConversion"/>
  </si>
  <si>
    <t>Location
Set</t>
    <phoneticPr fontId="1" type="noConversion"/>
  </si>
  <si>
    <t>无线定位模块</t>
    <phoneticPr fontId="1" type="noConversion"/>
  </si>
  <si>
    <t xml:space="preserve">PID数据帧1到6
共有18组PID，每3组PID组成一个PID数据帧，所以共6个PID数据帧
</t>
    <phoneticPr fontId="1" type="noConversion"/>
  </si>
  <si>
    <t>33</t>
  </si>
  <si>
    <t>3A</t>
    <phoneticPr fontId="1" type="noConversion"/>
  </si>
  <si>
    <t>Location
Set2</t>
    <phoneticPr fontId="1" type="noConversion"/>
  </si>
  <si>
    <t>3B</t>
    <phoneticPr fontId="1" type="noConversion"/>
  </si>
  <si>
    <t>RadioLink
Set</t>
    <phoneticPr fontId="1" type="noConversion"/>
  </si>
  <si>
    <t>40</t>
    <phoneticPr fontId="1" type="noConversion"/>
  </si>
  <si>
    <t>SUM</t>
    <phoneticPr fontId="1" type="noConversion"/>
  </si>
  <si>
    <t>int16_t CAL_ANC1*100
int16_t CAL_ANC2*100
int16_t CAL_ANC3*100
int16_t CAL_ANC4*100
int16_t CAL_ANC5*100
int16_t CAL_ANC6*100</t>
    <phoneticPr fontId="1" type="noConversion"/>
  </si>
  <si>
    <t>uint8_t MODE
uint8_t ANCHOR_NUM
uint8_t ANCHOR_CNT
uint8_t TAG_NUM
uint8_t TAG_CNT
uint8_t RF_MODE
uint16_t WIDTH *100
uint16_t LENGTH *100
uint16_t HEIGHT *100
uint8_t FILTER_SET
uint16_t A_DELAY*100
uint32_t UART_BAUD
uint8_t ENABLE_INS
uint8_t OUT_SELECT</t>
    <phoneticPr fontId="1" type="noConversion"/>
  </si>
  <si>
    <t xml:space="preserve">
</t>
    <phoneticPr fontId="1" type="noConversion"/>
  </si>
  <si>
    <t>匿名光流</t>
    <phoneticPr fontId="1" type="noConversion"/>
  </si>
  <si>
    <t>Optical Flow
匿名光流
光流数据</t>
    <phoneticPr fontId="1" type="noConversion"/>
  </si>
  <si>
    <t>Optical Flow
匿名光流
高度数据</t>
    <phoneticPr fontId="1" type="noConversion"/>
  </si>
  <si>
    <t>Optical Flow
匿名光流
惯性数据</t>
    <phoneticPr fontId="1" type="noConversion"/>
  </si>
  <si>
    <t>Optical Flow
匿名光流
姿态数据</t>
    <phoneticPr fontId="1" type="noConversion"/>
  </si>
  <si>
    <t>Optical Flow
匿名光流
控制数据</t>
    <phoneticPr fontId="1" type="noConversion"/>
  </si>
  <si>
    <t>MODE=0：原始数据
MODE=1：融合后数据</t>
    <phoneticPr fontId="1" type="noConversion"/>
  </si>
  <si>
    <t>MODE=0：原始数据
MODE=1：融合后数据
OF_ALT:光流模块测得的高度，单位米
65535：高度无效</t>
    <phoneticPr fontId="1" type="noConversion"/>
  </si>
  <si>
    <t>MODE=0：原始数据
MODE=1：加速度滤波后数据</t>
    <phoneticPr fontId="1" type="noConversion"/>
  </si>
  <si>
    <t>Optical Flow
Set</t>
    <phoneticPr fontId="1" type="noConversion"/>
  </si>
  <si>
    <t>50</t>
    <phoneticPr fontId="1" type="noConversion"/>
  </si>
  <si>
    <t>51</t>
  </si>
  <si>
    <t>52</t>
  </si>
  <si>
    <t>53</t>
  </si>
  <si>
    <t>54</t>
  </si>
  <si>
    <t>55</t>
  </si>
  <si>
    <t>命令集合2
01：读取PID请求（返回AAAA 10\11\12\13\14\15数据帧）
02：读取飞行模式设置请求（返回AAAA 0A数据帧）
21：读取飞控内航点数量（返回AAAA 20数据帧）
30：读取无线定位模块设置
40：读取数传模块设置
50：读取光流模块设置
A0：读取下位机版本信息（返回AAAA 00数据帧）
A1：恢复默认参数</t>
    <phoneticPr fontId="1" type="noConversion"/>
  </si>
  <si>
    <t>Distances
测距数据</t>
  </si>
  <si>
    <t>30</t>
  </si>
  <si>
    <t>SUM</t>
  </si>
  <si>
    <t>D_Distances
测距差分
（未使用）</t>
  </si>
  <si>
    <t>31</t>
  </si>
  <si>
    <t>Location
位置数据</t>
  </si>
  <si>
    <t>32</t>
  </si>
  <si>
    <t>uint8 TAG_NUM
int16 LOC_X
int16 LOC_Y
int16 LOC_Z</t>
  </si>
  <si>
    <t>D_Location
位置差分
（未使用）</t>
  </si>
  <si>
    <t>uint8 TAG_NUM
int16 LOC_X_D
int16 LOC_Y_D
int16 LOC_Z_D</t>
  </si>
  <si>
    <t>TAG_NUM:
本帧数据是哪个TAG的位置
单位:cm
位置信息差分输出</t>
  </si>
  <si>
    <t xml:space="preserve">uint16 PARAMETER
uint32 VALUE </t>
    <phoneticPr fontId="1" type="noConversion"/>
  </si>
  <si>
    <t>PARAMETER
SET</t>
    <phoneticPr fontId="1" type="noConversion"/>
  </si>
  <si>
    <t>读取参数</t>
    <phoneticPr fontId="1" type="noConversion"/>
  </si>
  <si>
    <t>数据长度可变，发送4、6、8字节的PWM数据，分别表示4、6、8轴数据，数据范围0到255</t>
    <phoneticPr fontId="1" type="noConversion"/>
  </si>
  <si>
    <t>MODE=0：欧拉角格式
MODE=1：四元数格式</t>
    <phoneticPr fontId="1" type="noConversion"/>
  </si>
  <si>
    <t>READ
PARAMETER</t>
    <phoneticPr fontId="1" type="noConversion"/>
  </si>
  <si>
    <t>uint16 PARAMETER</t>
    <phoneticPr fontId="1" type="noConversion"/>
  </si>
  <si>
    <t>22</t>
    <phoneticPr fontId="1" type="noConversion"/>
  </si>
  <si>
    <t>56</t>
    <phoneticPr fontId="1" type="noConversion"/>
  </si>
  <si>
    <t>int16 ACC_X
int16 ACC_Y
int16 ACC_Z
int16 GYRO_X
int16 GYRO_Y
int16 GYRO_Z
int16 MAG_X
int16 MAG_Y
int16 MAG_Z</t>
    <phoneticPr fontId="1" type="noConversion"/>
  </si>
  <si>
    <t>参见数据定义-&gt;航点信息</t>
    <phoneticPr fontId="1" type="noConversion"/>
  </si>
  <si>
    <t>帧头
(16进制)</t>
    <phoneticPr fontId="1" type="noConversion"/>
  </si>
  <si>
    <t>功能字
(16进制)</t>
    <phoneticPr fontId="1" type="noConversion"/>
  </si>
  <si>
    <t>长度
(10进制)</t>
    <phoneticPr fontId="1" type="noConversion"/>
  </si>
  <si>
    <t>模块发送（输出）-无人机（飞控）发，遥控器或地面站收</t>
    <phoneticPr fontId="1" type="noConversion"/>
  </si>
  <si>
    <t>模块接收（输入）-遥控器或地面站发，无人机（飞控）收</t>
    <phoneticPr fontId="1" type="noConversion"/>
  </si>
  <si>
    <t>PARAMETER:参数序号
0x30:期望高度，飞机起飞后，会自动尝试定高到此高度（部分机型），数据为（uint32）期望高度*100
VALUE:参数值，可以设置32bit以内数据类型的参数，都强制转换为uint32传输，目标系统再进行转换</t>
    <phoneticPr fontId="1" type="noConversion"/>
  </si>
  <si>
    <t>单位:cm
GROUP:本帧数据是第几组
DIST_FL:左前基站距离
DIST_FR:右前基站距离
DIST_BL:左后基站距离
DIST_BR:右后基站距离
ALT_L_1:高度1
ALT_L_2:高度2</t>
    <phoneticPr fontId="1" type="noConversion"/>
  </si>
  <si>
    <t>单位:cm
GROUP:本帧数据是第几组
距离信息的差分输出</t>
    <phoneticPr fontId="1" type="noConversion"/>
  </si>
  <si>
    <t xml:space="preserve">MODE:
1：定位点模式
2：基站模式
ANCHOR_CNT:本模块是第几个基站
</t>
    <phoneticPr fontId="1" type="noConversion"/>
  </si>
  <si>
    <t>命令集合1
01：ACC校准
02：GYRO校准
03：ALT高度校准（仅用于光流模块）
04：MAG校准
05：BARO校准
10：惯性校准（用于光流模块）
20：退出6面校准
21：6面校准第1步
22：6面校准第2步
23：6面校准第3步
24：6面校准第4步
25：6面校准第5步
26：6面校准第6步
A0：飞控锁定（仅用于手机蓝牙控制）
A1：飞控解锁（仅用于手机蓝牙控制）</t>
    <phoneticPr fontId="1" type="noConversion"/>
  </si>
  <si>
    <t>CMD=0 DATA=0 暂停光流融合
CMD=0 DATA=1 启动光流融合
CMD=0 DATA=2 复位光流融合</t>
    <phoneticPr fontId="1" type="noConversion"/>
  </si>
  <si>
    <t>Optical Flow
匿名光流命令</t>
    <phoneticPr fontId="1" type="noConversion"/>
  </si>
  <si>
    <t>MSG_ID:
01:加速度
02:陀螺仪
03:罗盘
30:无线定位模块
40:匿名数传
MSG_DATA:
01:校准成功
E1:校准失败
31:设置成功
32:设置成功2
A1:恢复默认成功</t>
    <phoneticPr fontId="1" type="noConversion"/>
  </si>
  <si>
    <t>uint8  GROUP
uint16 DIST_FL
uint16 DIST_FR
uint16 DIST_BL
uint16 DIST_BR
uint16 ALT_L_1
uint16 ALT_L_2</t>
    <phoneticPr fontId="1" type="noConversion"/>
  </si>
  <si>
    <t>uint8  GROUP
int16 DIST_FL_D
int16 DIST_FR_D
int16 DIST_BL_D
int16 DIST_BR_D
int16 ALT_L_1_D
int16 ALT_L_2_D</t>
    <phoneticPr fontId="1" type="noConversion"/>
  </si>
  <si>
    <t>TAG_NUM:
本帧数据是哪个TAG的位置
单位:cm
LOC_X/Y/Z:解算出的位置信息</t>
    <phoneticPr fontId="1" type="noConversion"/>
  </si>
  <si>
    <t>uint8  CMD
uint16 DATA</t>
  </si>
  <si>
    <t>uint8  RL_RUN_MODE
uint8  RL_ENABLE_UART
uint32 RL_UART_BAUD
uint8  RL_AIR_SPEED
uint8  RL_LOCAL_ADDR_0
uint8  RL_LOCAL_ADDR_1
uint8  RL_LOCAL_ADDR_2
uint8  RL_REMOTE_ADDR_0
uint8  RL_REMOTE_ADDR_1
uint8  RL_REMOTE_ADDR_2
uint8  RL_CH
uint8  RL_ARC</t>
  </si>
  <si>
    <t>uint32 UART_BAUD
uint8  OF_DATA_MODE
uint8  OF_DATA_FSET
uint8  ALT_DATA_MODE
uint8  ALT_DATA_FSET
uint8  MPU_DATA_MODE
uint8  MPU_DATA_FSET
uint8  MPU_DATA_RATE/100
uint8  ATT_DATA_MODE
uint8  ATT_DATA_FSET
uint8  ATT_DATA_RATE/100
uint8  CTL_DATA_MODE
uint8  CTL_DATA_RATE/100
int8  DEVIATION_X
int8  DEVIATION_Y
int8  DEVIATION_Z</t>
  </si>
  <si>
    <t>int16 ROL*100
int16 PIT*100
int16 YAW*100
int32 ALT_USE(高度cm)
uint8 FLY_MODEL(飞行模式）
uint8 ARMED : 0加锁 1解锁</t>
  </si>
  <si>
    <t>uint8  MODE
int16 GYR_X
int16 GYR_Y
int16 GYR_Z
int16 ACC_X
int16 ACC_Y
int16 ACC_Z</t>
  </si>
  <si>
    <t>uint8  MODE
int16 ROL*100
int16 PIT*100
int16 YAW*100
或者
int16 S1*10000
int16 S2*10000
int16 S3*10000
int16 S4*10000</t>
  </si>
  <si>
    <t>uint8 PWM1
uint8 PWM2
uint8 PWM3
uint8 PWM4
uint8 PWM5（可选）
uint8 PWM6（可选）
uint8 PWM7（可选）
uint8 PWM8（可选）</t>
  </si>
  <si>
    <t>uint8  MODE=0
uint8  OF_QUALITY
int8  OF_DX
int8  OF_DY
uint8  OF_Lightness
或者
uint8  MODE=1
uint8  OF_QUALITY
int16  OF_DX2
int16  OF_DY2
int16  OF_DX2FIX
int16  OF_DY2FIX
uint8  OF_Lightness</t>
  </si>
  <si>
    <t>uint8  MODE
uint16 OF_ALT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</si>
</sst>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26"/>
      <color theme="1"/>
      <name val="黑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8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8"/>
      <color theme="1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4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/>
    <xf numFmtId="49" fontId="0" fillId="0" borderId="0" xfId="0" applyNumberFormat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/>
    <xf numFmtId="49" fontId="0" fillId="0" borderId="0" xfId="0" applyNumberFormat="1" applyAlignment="1">
      <alignment wrapText="1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0" fillId="0" borderId="1" xfId="0" applyNumberFormat="1" applyBorder="1"/>
    <xf numFmtId="49" fontId="0" fillId="0" borderId="8" xfId="0" applyNumberFormat="1" applyBorder="1"/>
    <xf numFmtId="49" fontId="0" fillId="0" borderId="6" xfId="0" applyNumberFormat="1" applyBorder="1"/>
    <xf numFmtId="49" fontId="0" fillId="0" borderId="9" xfId="0" applyNumberFormat="1" applyBorder="1"/>
    <xf numFmtId="0" fontId="0" fillId="0" borderId="13" xfId="0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0" borderId="0" xfId="0" applyBorder="1"/>
    <xf numFmtId="49" fontId="0" fillId="0" borderId="0" xfId="0" applyNumberFormat="1" applyBorder="1"/>
    <xf numFmtId="0" fontId="0" fillId="9" borderId="5" xfId="0" applyFill="1" applyBorder="1"/>
    <xf numFmtId="0" fontId="0" fillId="9" borderId="1" xfId="0" applyFill="1" applyBorder="1"/>
    <xf numFmtId="0" fontId="0" fillId="9" borderId="6" xfId="0" applyFill="1" applyBorder="1"/>
    <xf numFmtId="0" fontId="0" fillId="10" borderId="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49" fontId="0" fillId="10" borderId="8" xfId="0" applyNumberFormat="1" applyFill="1" applyBorder="1" applyAlignment="1">
      <alignment horizontal="center" vertical="center"/>
    </xf>
    <xf numFmtId="0" fontId="0" fillId="10" borderId="8" xfId="0" applyFill="1" applyBorder="1" applyAlignment="1">
      <alignment vertical="center"/>
    </xf>
    <xf numFmtId="0" fontId="0" fillId="0" borderId="14" xfId="0" applyBorder="1"/>
    <xf numFmtId="49" fontId="0" fillId="0" borderId="15" xfId="0" applyNumberFormat="1" applyBorder="1"/>
    <xf numFmtId="0" fontId="0" fillId="11" borderId="5" xfId="0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horizontal="center" vertical="center"/>
      <protection locked="0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2" fillId="2" borderId="6" xfId="0" applyFont="1" applyFill="1" applyBorder="1" applyAlignment="1">
      <alignment horizontal="left" vertical="center" wrapText="1"/>
    </xf>
    <xf numFmtId="0" fontId="0" fillId="0" borderId="6" xfId="0" applyBorder="1" applyAlignment="1" applyProtection="1">
      <alignment horizontal="left" vertical="center" wrapText="1"/>
      <protection locked="0"/>
    </xf>
    <xf numFmtId="0" fontId="0" fillId="10" borderId="6" xfId="0" applyFill="1" applyBorder="1" applyAlignment="1">
      <alignment horizontal="left" vertical="center" wrapText="1"/>
    </xf>
    <xf numFmtId="0" fontId="0" fillId="10" borderId="9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left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H72"/>
  <sheetViews>
    <sheetView tabSelected="1" topLeftCell="A10" zoomScale="145" zoomScaleNormal="145" workbookViewId="0">
      <selection activeCell="E39" sqref="E39"/>
    </sheetView>
  </sheetViews>
  <sheetFormatPr defaultRowHeight="14" x14ac:dyDescent="0.25"/>
  <cols>
    <col min="1" max="1" width="9" customWidth="1"/>
    <col min="2" max="2" width="9.7265625" style="2" customWidth="1"/>
    <col min="3" max="3" width="9" style="2"/>
    <col min="4" max="4" width="9" style="11"/>
    <col min="5" max="5" width="8.453125" style="2" customWidth="1"/>
    <col min="6" max="6" width="31.7265625" style="1" customWidth="1"/>
    <col min="7" max="7" width="9.36328125" style="1" customWidth="1"/>
    <col min="8" max="8" width="35" style="63" customWidth="1"/>
  </cols>
  <sheetData>
    <row r="2" spans="2:8" ht="43.15" customHeight="1" x14ac:dyDescent="0.25">
      <c r="B2" s="81" t="s">
        <v>186</v>
      </c>
      <c r="C2" s="81"/>
      <c r="D2" s="81"/>
      <c r="E2" s="81"/>
      <c r="F2" s="81"/>
      <c r="G2" s="81"/>
      <c r="H2" s="81"/>
    </row>
    <row r="3" spans="2:8" ht="68.5" customHeight="1" thickBot="1" x14ac:dyDescent="0.3">
      <c r="B3" s="73" t="s">
        <v>185</v>
      </c>
      <c r="C3" s="74"/>
      <c r="D3" s="74"/>
      <c r="E3" s="74"/>
      <c r="F3" s="74"/>
      <c r="G3" s="74"/>
      <c r="H3" s="74"/>
    </row>
    <row r="4" spans="2:8" ht="14.5" customHeight="1" x14ac:dyDescent="0.25">
      <c r="B4" s="75" t="s">
        <v>255</v>
      </c>
      <c r="C4" s="76"/>
      <c r="D4" s="76"/>
      <c r="E4" s="76"/>
      <c r="F4" s="76"/>
      <c r="G4" s="76"/>
      <c r="H4" s="77"/>
    </row>
    <row r="5" spans="2:8" ht="14.5" customHeight="1" x14ac:dyDescent="0.25">
      <c r="B5" s="78"/>
      <c r="C5" s="79"/>
      <c r="D5" s="79"/>
      <c r="E5" s="79"/>
      <c r="F5" s="79"/>
      <c r="G5" s="79"/>
      <c r="H5" s="80"/>
    </row>
    <row r="6" spans="2:8" s="2" customFormat="1" ht="26" x14ac:dyDescent="0.25">
      <c r="B6" s="29" t="s">
        <v>2</v>
      </c>
      <c r="C6" s="65" t="s">
        <v>252</v>
      </c>
      <c r="D6" s="65" t="s">
        <v>253</v>
      </c>
      <c r="E6" s="65" t="s">
        <v>254</v>
      </c>
      <c r="F6" s="27" t="s">
        <v>0</v>
      </c>
      <c r="G6" s="27" t="s">
        <v>1</v>
      </c>
      <c r="H6" s="59" t="s">
        <v>48</v>
      </c>
    </row>
    <row r="7" spans="2:8" s="2" customFormat="1" ht="53.25" customHeight="1" x14ac:dyDescent="0.25">
      <c r="B7" s="5" t="s">
        <v>102</v>
      </c>
      <c r="C7" s="6" t="s">
        <v>9</v>
      </c>
      <c r="D7" s="12" t="s">
        <v>103</v>
      </c>
      <c r="E7" s="3">
        <v>9</v>
      </c>
      <c r="F7" s="71" t="s">
        <v>105</v>
      </c>
      <c r="G7" s="3" t="s">
        <v>104</v>
      </c>
      <c r="H7" s="28" t="s">
        <v>144</v>
      </c>
    </row>
    <row r="8" spans="2:8" ht="63" customHeight="1" x14ac:dyDescent="0.25">
      <c r="B8" s="5" t="s">
        <v>3</v>
      </c>
      <c r="C8" s="6" t="s">
        <v>10</v>
      </c>
      <c r="D8" s="12" t="s">
        <v>17</v>
      </c>
      <c r="E8" s="3">
        <v>12</v>
      </c>
      <c r="F8" s="71" t="s">
        <v>271</v>
      </c>
      <c r="G8" s="3" t="s">
        <v>4</v>
      </c>
      <c r="H8" s="28" t="s">
        <v>84</v>
      </c>
    </row>
    <row r="9" spans="2:8" ht="85.5" x14ac:dyDescent="0.25">
      <c r="B9" s="5" t="s">
        <v>5</v>
      </c>
      <c r="C9" s="6" t="s">
        <v>9</v>
      </c>
      <c r="D9" s="12" t="s">
        <v>18</v>
      </c>
      <c r="E9" s="3">
        <v>18</v>
      </c>
      <c r="F9" s="71" t="s">
        <v>250</v>
      </c>
      <c r="G9" s="3" t="s">
        <v>6</v>
      </c>
      <c r="H9" s="28" t="s">
        <v>85</v>
      </c>
    </row>
    <row r="10" spans="2:8" ht="95" x14ac:dyDescent="0.25">
      <c r="B10" s="5" t="s">
        <v>7</v>
      </c>
      <c r="C10" s="6" t="s">
        <v>9</v>
      </c>
      <c r="D10" s="12" t="s">
        <v>28</v>
      </c>
      <c r="E10" s="3">
        <v>20</v>
      </c>
      <c r="F10" s="71" t="s">
        <v>8</v>
      </c>
      <c r="G10" s="3" t="s">
        <v>6</v>
      </c>
      <c r="H10" s="28" t="s">
        <v>86</v>
      </c>
    </row>
    <row r="11" spans="2:8" x14ac:dyDescent="0.25">
      <c r="B11" s="5" t="s">
        <v>15</v>
      </c>
      <c r="C11" s="6" t="s">
        <v>9</v>
      </c>
      <c r="D11" s="12" t="s">
        <v>19</v>
      </c>
      <c r="E11" s="3" t="s">
        <v>16</v>
      </c>
      <c r="F11" s="4" t="s">
        <v>158</v>
      </c>
      <c r="G11" s="3" t="s">
        <v>6</v>
      </c>
      <c r="H11" s="28" t="s">
        <v>87</v>
      </c>
    </row>
    <row r="12" spans="2:8" ht="28" x14ac:dyDescent="0.25">
      <c r="B12" s="5" t="s">
        <v>62</v>
      </c>
      <c r="C12" s="6" t="s">
        <v>9</v>
      </c>
      <c r="D12" s="12" t="s">
        <v>20</v>
      </c>
      <c r="E12" s="3">
        <v>4</v>
      </c>
      <c r="F12" s="4" t="s">
        <v>61</v>
      </c>
      <c r="G12" s="3" t="s">
        <v>4</v>
      </c>
      <c r="H12" s="28"/>
    </row>
    <row r="13" spans="2:8" ht="28" x14ac:dyDescent="0.25">
      <c r="B13" s="5" t="s">
        <v>89</v>
      </c>
      <c r="C13" s="6"/>
      <c r="D13" s="12" t="s">
        <v>90</v>
      </c>
      <c r="E13" s="3">
        <v>2</v>
      </c>
      <c r="F13" s="4" t="s">
        <v>88</v>
      </c>
      <c r="G13" s="3" t="s">
        <v>91</v>
      </c>
      <c r="H13" s="28" t="s">
        <v>92</v>
      </c>
    </row>
    <row r="14" spans="2:8" ht="28" x14ac:dyDescent="0.25">
      <c r="B14" s="5" t="s">
        <v>184</v>
      </c>
      <c r="C14" s="6" t="s">
        <v>9</v>
      </c>
      <c r="D14" s="12" t="s">
        <v>30</v>
      </c>
      <c r="E14" s="3">
        <v>6</v>
      </c>
      <c r="F14" s="4" t="s">
        <v>187</v>
      </c>
      <c r="G14" s="3" t="s">
        <v>4</v>
      </c>
      <c r="H14" s="28"/>
    </row>
    <row r="15" spans="2:8" ht="54" customHeight="1" x14ac:dyDescent="0.25">
      <c r="B15" s="30" t="s">
        <v>242</v>
      </c>
      <c r="C15" s="6" t="s">
        <v>9</v>
      </c>
      <c r="D15" s="12" t="s">
        <v>32</v>
      </c>
      <c r="E15" s="3">
        <v>6</v>
      </c>
      <c r="F15" s="4" t="s">
        <v>241</v>
      </c>
      <c r="G15" s="3" t="s">
        <v>4</v>
      </c>
      <c r="H15" s="67" t="s">
        <v>257</v>
      </c>
    </row>
    <row r="16" spans="2:8" ht="92" customHeight="1" x14ac:dyDescent="0.25">
      <c r="B16" s="30" t="s">
        <v>83</v>
      </c>
      <c r="C16" s="6" t="s">
        <v>9</v>
      </c>
      <c r="D16" s="12" t="s">
        <v>33</v>
      </c>
      <c r="E16" s="3">
        <v>9</v>
      </c>
      <c r="F16" s="69" t="s">
        <v>101</v>
      </c>
      <c r="G16" s="3" t="s">
        <v>4</v>
      </c>
      <c r="H16" s="28" t="s">
        <v>63</v>
      </c>
    </row>
    <row r="17" spans="2:8" ht="28.5" x14ac:dyDescent="0.25">
      <c r="B17" s="5"/>
      <c r="C17" s="6" t="s">
        <v>9</v>
      </c>
      <c r="D17" s="12" t="s">
        <v>34</v>
      </c>
      <c r="E17" s="3">
        <v>6</v>
      </c>
      <c r="F17" s="69" t="s">
        <v>192</v>
      </c>
      <c r="G17" s="3" t="s">
        <v>4</v>
      </c>
      <c r="H17" s="28"/>
    </row>
    <row r="18" spans="2:8" ht="85.5" x14ac:dyDescent="0.25">
      <c r="B18" s="5" t="s">
        <v>12</v>
      </c>
      <c r="C18" s="6" t="s">
        <v>9</v>
      </c>
      <c r="D18" s="12" t="s">
        <v>21</v>
      </c>
      <c r="E18" s="3">
        <v>18</v>
      </c>
      <c r="F18" s="71" t="s">
        <v>80</v>
      </c>
      <c r="G18" s="3" t="s">
        <v>4</v>
      </c>
      <c r="H18" s="28" t="s">
        <v>93</v>
      </c>
    </row>
    <row r="19" spans="2:8" ht="85.5" x14ac:dyDescent="0.25">
      <c r="B19" s="5" t="s">
        <v>41</v>
      </c>
      <c r="C19" s="6" t="s">
        <v>9</v>
      </c>
      <c r="D19" s="12" t="s">
        <v>22</v>
      </c>
      <c r="E19" s="3">
        <v>18</v>
      </c>
      <c r="F19" s="69" t="s">
        <v>77</v>
      </c>
      <c r="G19" s="3" t="s">
        <v>6</v>
      </c>
      <c r="H19" s="28" t="s">
        <v>94</v>
      </c>
    </row>
    <row r="20" spans="2:8" ht="85.5" x14ac:dyDescent="0.25">
      <c r="B20" s="5" t="s">
        <v>14</v>
      </c>
      <c r="C20" s="6" t="s">
        <v>9</v>
      </c>
      <c r="D20" s="12" t="s">
        <v>23</v>
      </c>
      <c r="E20" s="3">
        <v>18</v>
      </c>
      <c r="F20" s="69" t="s">
        <v>78</v>
      </c>
      <c r="G20" s="3" t="s">
        <v>4</v>
      </c>
      <c r="H20" s="28" t="s">
        <v>95</v>
      </c>
    </row>
    <row r="21" spans="2:8" ht="85.5" x14ac:dyDescent="0.25">
      <c r="B21" s="5" t="s">
        <v>38</v>
      </c>
      <c r="C21" s="6" t="s">
        <v>9</v>
      </c>
      <c r="D21" s="12" t="s">
        <v>24</v>
      </c>
      <c r="E21" s="3">
        <v>18</v>
      </c>
      <c r="F21" s="69" t="s">
        <v>79</v>
      </c>
      <c r="G21" s="3" t="s">
        <v>6</v>
      </c>
      <c r="H21" s="28" t="s">
        <v>96</v>
      </c>
    </row>
    <row r="22" spans="2:8" ht="85.5" x14ac:dyDescent="0.25">
      <c r="B22" s="5" t="s">
        <v>39</v>
      </c>
      <c r="C22" s="6" t="s">
        <v>9</v>
      </c>
      <c r="D22" s="12" t="s">
        <v>25</v>
      </c>
      <c r="E22" s="3">
        <v>18</v>
      </c>
      <c r="F22" s="69" t="s">
        <v>82</v>
      </c>
      <c r="G22" s="3" t="s">
        <v>6</v>
      </c>
      <c r="H22" s="28" t="s">
        <v>97</v>
      </c>
    </row>
    <row r="23" spans="2:8" ht="85.5" x14ac:dyDescent="0.25">
      <c r="B23" s="5" t="s">
        <v>40</v>
      </c>
      <c r="C23" s="6" t="s">
        <v>9</v>
      </c>
      <c r="D23" s="12" t="s">
        <v>26</v>
      </c>
      <c r="E23" s="3">
        <v>18</v>
      </c>
      <c r="F23" s="72" t="s">
        <v>81</v>
      </c>
      <c r="G23" s="3" t="s">
        <v>6</v>
      </c>
      <c r="H23" s="28" t="s">
        <v>98</v>
      </c>
    </row>
    <row r="24" spans="2:8" x14ac:dyDescent="0.25">
      <c r="B24" s="5" t="s">
        <v>112</v>
      </c>
      <c r="C24" s="6" t="s">
        <v>9</v>
      </c>
      <c r="D24" s="12" t="s">
        <v>110</v>
      </c>
      <c r="E24" s="3" t="s">
        <v>16</v>
      </c>
      <c r="F24" s="4" t="s">
        <v>114</v>
      </c>
      <c r="G24" s="3" t="s">
        <v>4</v>
      </c>
      <c r="H24" s="28" t="s">
        <v>113</v>
      </c>
    </row>
    <row r="25" spans="2:8" x14ac:dyDescent="0.25">
      <c r="B25" s="5" t="s">
        <v>117</v>
      </c>
      <c r="C25" s="6" t="s">
        <v>9</v>
      </c>
      <c r="D25" s="12" t="s">
        <v>115</v>
      </c>
      <c r="E25" s="3" t="s">
        <v>16</v>
      </c>
      <c r="F25" s="4" t="s">
        <v>251</v>
      </c>
      <c r="G25" s="3" t="s">
        <v>4</v>
      </c>
      <c r="H25" s="28" t="s">
        <v>118</v>
      </c>
    </row>
    <row r="26" spans="2:8" ht="84.75" customHeight="1" x14ac:dyDescent="0.25">
      <c r="B26" s="53" t="s">
        <v>230</v>
      </c>
      <c r="C26" s="51" t="s">
        <v>9</v>
      </c>
      <c r="D26" s="52" t="s">
        <v>231</v>
      </c>
      <c r="E26" s="49">
        <v>13</v>
      </c>
      <c r="F26" s="72" t="s">
        <v>265</v>
      </c>
      <c r="G26" s="49" t="s">
        <v>232</v>
      </c>
      <c r="H26" s="67" t="s">
        <v>258</v>
      </c>
    </row>
    <row r="27" spans="2:8" ht="70" x14ac:dyDescent="0.25">
      <c r="B27" s="53" t="s">
        <v>233</v>
      </c>
      <c r="C27" s="51" t="s">
        <v>9</v>
      </c>
      <c r="D27" s="52" t="s">
        <v>234</v>
      </c>
      <c r="E27" s="49">
        <v>13</v>
      </c>
      <c r="F27" s="72" t="s">
        <v>266</v>
      </c>
      <c r="G27" s="49" t="s">
        <v>232</v>
      </c>
      <c r="H27" s="28" t="s">
        <v>259</v>
      </c>
    </row>
    <row r="28" spans="2:8" ht="56" x14ac:dyDescent="0.25">
      <c r="B28" s="53" t="s">
        <v>235</v>
      </c>
      <c r="C28" s="51" t="s">
        <v>9</v>
      </c>
      <c r="D28" s="52" t="s">
        <v>236</v>
      </c>
      <c r="E28" s="49">
        <v>7</v>
      </c>
      <c r="F28" s="50" t="s">
        <v>237</v>
      </c>
      <c r="G28" s="49" t="s">
        <v>232</v>
      </c>
      <c r="H28" s="28" t="s">
        <v>267</v>
      </c>
    </row>
    <row r="29" spans="2:8" ht="57.75" customHeight="1" x14ac:dyDescent="0.25">
      <c r="B29" s="53" t="s">
        <v>238</v>
      </c>
      <c r="C29" s="51" t="s">
        <v>9</v>
      </c>
      <c r="D29" s="52" t="s">
        <v>203</v>
      </c>
      <c r="E29" s="49">
        <v>7</v>
      </c>
      <c r="F29" s="50" t="s">
        <v>239</v>
      </c>
      <c r="G29" s="49" t="s">
        <v>232</v>
      </c>
      <c r="H29" s="28" t="s">
        <v>240</v>
      </c>
    </row>
    <row r="30" spans="2:8" ht="133" x14ac:dyDescent="0.25">
      <c r="B30" s="48" t="s">
        <v>200</v>
      </c>
      <c r="C30" s="6" t="s">
        <v>9</v>
      </c>
      <c r="D30" s="12" t="s">
        <v>204</v>
      </c>
      <c r="E30" s="3">
        <v>21</v>
      </c>
      <c r="F30" s="71" t="s">
        <v>211</v>
      </c>
      <c r="G30" s="3" t="s">
        <v>4</v>
      </c>
      <c r="H30" s="28"/>
    </row>
    <row r="31" spans="2:8" ht="57" x14ac:dyDescent="0.25">
      <c r="B31" s="48" t="s">
        <v>205</v>
      </c>
      <c r="C31" s="6" t="s">
        <v>9</v>
      </c>
      <c r="D31" s="12" t="s">
        <v>206</v>
      </c>
      <c r="E31" s="3">
        <v>12</v>
      </c>
      <c r="F31" s="71" t="s">
        <v>210</v>
      </c>
      <c r="G31" s="3" t="s">
        <v>4</v>
      </c>
      <c r="H31" s="28"/>
    </row>
    <row r="32" spans="2:8" ht="114" x14ac:dyDescent="0.25">
      <c r="B32" s="46" t="s">
        <v>207</v>
      </c>
      <c r="C32" s="6" t="s">
        <v>9</v>
      </c>
      <c r="D32" s="12" t="s">
        <v>208</v>
      </c>
      <c r="E32" s="3">
        <v>15</v>
      </c>
      <c r="F32" s="71" t="s">
        <v>269</v>
      </c>
      <c r="G32" s="3" t="s">
        <v>209</v>
      </c>
      <c r="H32" s="28"/>
    </row>
    <row r="33" spans="2:8" ht="158.5" customHeight="1" x14ac:dyDescent="0.25">
      <c r="B33" s="47" t="s">
        <v>222</v>
      </c>
      <c r="C33" s="6" t="s">
        <v>9</v>
      </c>
      <c r="D33" s="12" t="s">
        <v>223</v>
      </c>
      <c r="E33" s="3">
        <v>19</v>
      </c>
      <c r="F33" s="71" t="s">
        <v>270</v>
      </c>
      <c r="G33" s="3" t="s">
        <v>4</v>
      </c>
      <c r="H33" s="28"/>
    </row>
    <row r="34" spans="2:8" ht="123.5" x14ac:dyDescent="0.25">
      <c r="B34" s="47" t="s">
        <v>214</v>
      </c>
      <c r="C34" s="6" t="s">
        <v>9</v>
      </c>
      <c r="D34" s="12" t="s">
        <v>224</v>
      </c>
      <c r="E34" s="3" t="s">
        <v>16</v>
      </c>
      <c r="F34" s="71" t="s">
        <v>275</v>
      </c>
      <c r="G34" s="3" t="s">
        <v>4</v>
      </c>
      <c r="H34" s="28" t="s">
        <v>219</v>
      </c>
    </row>
    <row r="35" spans="2:8" ht="56" x14ac:dyDescent="0.25">
      <c r="B35" s="47" t="s">
        <v>215</v>
      </c>
      <c r="C35" s="6" t="s">
        <v>9</v>
      </c>
      <c r="D35" s="12" t="s">
        <v>225</v>
      </c>
      <c r="E35" s="3">
        <v>3</v>
      </c>
      <c r="F35" s="50" t="s">
        <v>276</v>
      </c>
      <c r="G35" s="3" t="s">
        <v>4</v>
      </c>
      <c r="H35" s="28" t="s">
        <v>220</v>
      </c>
    </row>
    <row r="36" spans="2:8" ht="66.5" x14ac:dyDescent="0.25">
      <c r="B36" s="47" t="s">
        <v>216</v>
      </c>
      <c r="C36" s="6" t="s">
        <v>9</v>
      </c>
      <c r="D36" s="12" t="s">
        <v>226</v>
      </c>
      <c r="E36" s="3">
        <v>13</v>
      </c>
      <c r="F36" s="71" t="s">
        <v>272</v>
      </c>
      <c r="G36" s="3" t="s">
        <v>4</v>
      </c>
      <c r="H36" s="28" t="s">
        <v>221</v>
      </c>
    </row>
    <row r="37" spans="2:8" ht="85.5" x14ac:dyDescent="0.25">
      <c r="B37" s="47" t="s">
        <v>217</v>
      </c>
      <c r="C37" s="6" t="s">
        <v>9</v>
      </c>
      <c r="D37" s="12" t="s">
        <v>227</v>
      </c>
      <c r="E37" s="3" t="s">
        <v>16</v>
      </c>
      <c r="F37" s="71" t="s">
        <v>273</v>
      </c>
      <c r="G37" s="49" t="s">
        <v>4</v>
      </c>
      <c r="H37" s="28" t="s">
        <v>245</v>
      </c>
    </row>
    <row r="38" spans="2:8" ht="76" x14ac:dyDescent="0.25">
      <c r="B38" s="47" t="s">
        <v>218</v>
      </c>
      <c r="C38" s="6" t="s">
        <v>9</v>
      </c>
      <c r="D38" s="12" t="s">
        <v>228</v>
      </c>
      <c r="E38" s="3" t="s">
        <v>16</v>
      </c>
      <c r="F38" s="71" t="s">
        <v>274</v>
      </c>
      <c r="G38" s="49" t="s">
        <v>4</v>
      </c>
      <c r="H38" s="28" t="s">
        <v>244</v>
      </c>
    </row>
    <row r="39" spans="2:8" ht="114" x14ac:dyDescent="0.25">
      <c r="B39" s="5" t="s">
        <v>196</v>
      </c>
      <c r="C39" s="6" t="s">
        <v>9</v>
      </c>
      <c r="D39" s="12" t="s">
        <v>198</v>
      </c>
      <c r="E39" s="3">
        <v>2</v>
      </c>
      <c r="F39" s="4" t="s">
        <v>197</v>
      </c>
      <c r="G39" s="3" t="s">
        <v>4</v>
      </c>
      <c r="H39" s="67" t="s">
        <v>264</v>
      </c>
    </row>
    <row r="40" spans="2:8" s="10" customFormat="1" ht="42" x14ac:dyDescent="0.25">
      <c r="B40" s="5" t="s">
        <v>147</v>
      </c>
      <c r="C40" s="6" t="s">
        <v>9</v>
      </c>
      <c r="D40" s="12" t="s">
        <v>153</v>
      </c>
      <c r="E40" s="3">
        <v>2</v>
      </c>
      <c r="F40" s="4" t="s">
        <v>148</v>
      </c>
      <c r="G40" s="3" t="s">
        <v>4</v>
      </c>
      <c r="H40" s="28" t="s">
        <v>154</v>
      </c>
    </row>
    <row r="41" spans="2:8" s="10" customFormat="1" x14ac:dyDescent="0.25">
      <c r="B41" s="5"/>
      <c r="C41" s="6" t="s">
        <v>9</v>
      </c>
      <c r="D41" s="12" t="s">
        <v>146</v>
      </c>
      <c r="E41" s="3" t="s">
        <v>16</v>
      </c>
      <c r="F41" s="4"/>
      <c r="G41" s="3" t="s">
        <v>4</v>
      </c>
      <c r="H41" s="28"/>
    </row>
    <row r="42" spans="2:8" s="10" customFormat="1" x14ac:dyDescent="0.25">
      <c r="B42" s="36" t="s">
        <v>150</v>
      </c>
      <c r="C42" s="37" t="s">
        <v>9</v>
      </c>
      <c r="D42" s="38" t="s">
        <v>149</v>
      </c>
      <c r="E42" s="37" t="s">
        <v>16</v>
      </c>
      <c r="F42" s="39" t="s">
        <v>152</v>
      </c>
      <c r="G42" s="37" t="s">
        <v>4</v>
      </c>
      <c r="H42" s="61" t="s">
        <v>151</v>
      </c>
    </row>
    <row r="43" spans="2:8" s="10" customFormat="1" x14ac:dyDescent="0.25">
      <c r="B43" s="36" t="s">
        <v>150</v>
      </c>
      <c r="C43" s="37" t="s">
        <v>9</v>
      </c>
      <c r="D43" s="38" t="s">
        <v>160</v>
      </c>
      <c r="E43" s="37" t="s">
        <v>16</v>
      </c>
      <c r="F43" s="39" t="s">
        <v>152</v>
      </c>
      <c r="G43" s="37" t="s">
        <v>4</v>
      </c>
      <c r="H43" s="61" t="s">
        <v>151</v>
      </c>
    </row>
    <row r="44" spans="2:8" s="10" customFormat="1" x14ac:dyDescent="0.25">
      <c r="B44" s="36" t="s">
        <v>150</v>
      </c>
      <c r="C44" s="37" t="s">
        <v>9</v>
      </c>
      <c r="D44" s="38" t="s">
        <v>161</v>
      </c>
      <c r="E44" s="37" t="s">
        <v>16</v>
      </c>
      <c r="F44" s="39" t="s">
        <v>152</v>
      </c>
      <c r="G44" s="37" t="s">
        <v>4</v>
      </c>
      <c r="H44" s="61" t="s">
        <v>151</v>
      </c>
    </row>
    <row r="45" spans="2:8" s="10" customFormat="1" x14ac:dyDescent="0.25">
      <c r="B45" s="36" t="s">
        <v>150</v>
      </c>
      <c r="C45" s="37" t="s">
        <v>9</v>
      </c>
      <c r="D45" s="38" t="s">
        <v>162</v>
      </c>
      <c r="E45" s="37" t="s">
        <v>16</v>
      </c>
      <c r="F45" s="39" t="s">
        <v>152</v>
      </c>
      <c r="G45" s="37" t="s">
        <v>4</v>
      </c>
      <c r="H45" s="61" t="s">
        <v>151</v>
      </c>
    </row>
    <row r="46" spans="2:8" s="10" customFormat="1" x14ac:dyDescent="0.25">
      <c r="B46" s="36" t="s">
        <v>150</v>
      </c>
      <c r="C46" s="37" t="s">
        <v>9</v>
      </c>
      <c r="D46" s="38" t="s">
        <v>163</v>
      </c>
      <c r="E46" s="37" t="s">
        <v>16</v>
      </c>
      <c r="F46" s="39" t="s">
        <v>152</v>
      </c>
      <c r="G46" s="37" t="s">
        <v>4</v>
      </c>
      <c r="H46" s="61" t="s">
        <v>151</v>
      </c>
    </row>
    <row r="47" spans="2:8" s="10" customFormat="1" x14ac:dyDescent="0.25">
      <c r="B47" s="36" t="s">
        <v>150</v>
      </c>
      <c r="C47" s="37" t="s">
        <v>9</v>
      </c>
      <c r="D47" s="38" t="s">
        <v>164</v>
      </c>
      <c r="E47" s="37" t="s">
        <v>16</v>
      </c>
      <c r="F47" s="39" t="s">
        <v>152</v>
      </c>
      <c r="G47" s="37" t="s">
        <v>4</v>
      </c>
      <c r="H47" s="61" t="s">
        <v>151</v>
      </c>
    </row>
    <row r="48" spans="2:8" s="10" customFormat="1" x14ac:dyDescent="0.25">
      <c r="B48" s="36" t="s">
        <v>150</v>
      </c>
      <c r="C48" s="37" t="s">
        <v>9</v>
      </c>
      <c r="D48" s="38" t="s">
        <v>165</v>
      </c>
      <c r="E48" s="37" t="s">
        <v>16</v>
      </c>
      <c r="F48" s="39" t="s">
        <v>152</v>
      </c>
      <c r="G48" s="37" t="s">
        <v>4</v>
      </c>
      <c r="H48" s="61" t="s">
        <v>151</v>
      </c>
    </row>
    <row r="49" spans="2:8" s="10" customFormat="1" x14ac:dyDescent="0.25">
      <c r="B49" s="36" t="s">
        <v>150</v>
      </c>
      <c r="C49" s="37" t="s">
        <v>9</v>
      </c>
      <c r="D49" s="38" t="s">
        <v>166</v>
      </c>
      <c r="E49" s="37" t="s">
        <v>16</v>
      </c>
      <c r="F49" s="39" t="s">
        <v>152</v>
      </c>
      <c r="G49" s="37" t="s">
        <v>4</v>
      </c>
      <c r="H49" s="61" t="s">
        <v>151</v>
      </c>
    </row>
    <row r="50" spans="2:8" s="10" customFormat="1" x14ac:dyDescent="0.25">
      <c r="B50" s="36" t="s">
        <v>150</v>
      </c>
      <c r="C50" s="37" t="s">
        <v>9</v>
      </c>
      <c r="D50" s="38" t="s">
        <v>167</v>
      </c>
      <c r="E50" s="37" t="s">
        <v>16</v>
      </c>
      <c r="F50" s="39" t="s">
        <v>152</v>
      </c>
      <c r="G50" s="37" t="s">
        <v>4</v>
      </c>
      <c r="H50" s="61" t="s">
        <v>151</v>
      </c>
    </row>
    <row r="51" spans="2:8" s="10" customFormat="1" ht="14.5" thickBot="1" x14ac:dyDescent="0.3">
      <c r="B51" s="40" t="s">
        <v>150</v>
      </c>
      <c r="C51" s="41" t="s">
        <v>9</v>
      </c>
      <c r="D51" s="42" t="s">
        <v>168</v>
      </c>
      <c r="E51" s="41" t="s">
        <v>16</v>
      </c>
      <c r="F51" s="43" t="s">
        <v>152</v>
      </c>
      <c r="G51" s="41" t="s">
        <v>4</v>
      </c>
      <c r="H51" s="62" t="s">
        <v>151</v>
      </c>
    </row>
    <row r="52" spans="2:8" s="10" customFormat="1" x14ac:dyDescent="0.25">
      <c r="B52" s="2"/>
      <c r="C52" s="2"/>
      <c r="D52" s="11"/>
      <c r="E52" s="2"/>
      <c r="F52" s="1"/>
      <c r="G52" s="1"/>
      <c r="H52" s="63"/>
    </row>
    <row r="53" spans="2:8" s="10" customFormat="1" x14ac:dyDescent="0.25">
      <c r="B53" s="2"/>
      <c r="C53" s="2"/>
      <c r="D53" s="11"/>
      <c r="E53" s="2"/>
      <c r="F53" s="1"/>
      <c r="G53" s="1"/>
      <c r="H53" s="63"/>
    </row>
    <row r="54" spans="2:8" s="10" customFormat="1" x14ac:dyDescent="0.25">
      <c r="B54" s="2"/>
      <c r="C54" s="2"/>
      <c r="D54" s="11"/>
      <c r="E54" s="2"/>
      <c r="F54" s="1"/>
      <c r="G54" s="1"/>
      <c r="H54" s="63"/>
    </row>
    <row r="55" spans="2:8" s="10" customFormat="1" x14ac:dyDescent="0.25">
      <c r="B55" s="2"/>
      <c r="C55" s="2"/>
      <c r="D55" s="11"/>
      <c r="E55" s="2"/>
      <c r="F55" s="1"/>
      <c r="G55" s="1"/>
      <c r="H55" s="63"/>
    </row>
    <row r="56" spans="2:8" s="10" customFormat="1" x14ac:dyDescent="0.25">
      <c r="B56" s="2"/>
      <c r="C56" s="2"/>
      <c r="D56" s="11"/>
      <c r="E56" s="2"/>
      <c r="F56" s="1"/>
      <c r="G56" s="1"/>
      <c r="H56" s="63"/>
    </row>
    <row r="57" spans="2:8" s="10" customFormat="1" x14ac:dyDescent="0.25">
      <c r="B57" s="2"/>
      <c r="C57" s="2"/>
      <c r="D57" s="11"/>
      <c r="E57" s="2"/>
      <c r="F57" s="1"/>
      <c r="G57" s="1"/>
      <c r="H57" s="63"/>
    </row>
    <row r="58" spans="2:8" s="10" customFormat="1" ht="14.5" customHeight="1" x14ac:dyDescent="0.25">
      <c r="H58" s="64"/>
    </row>
    <row r="59" spans="2:8" s="10" customFormat="1" x14ac:dyDescent="0.25">
      <c r="H59" s="64"/>
    </row>
    <row r="60" spans="2:8" s="10" customFormat="1" x14ac:dyDescent="0.25">
      <c r="H60" s="64"/>
    </row>
    <row r="61" spans="2:8" s="10" customFormat="1" x14ac:dyDescent="0.25">
      <c r="H61" s="64"/>
    </row>
    <row r="62" spans="2:8" s="10" customFormat="1" x14ac:dyDescent="0.25">
      <c r="H62" s="64"/>
    </row>
    <row r="63" spans="2:8" s="10" customFormat="1" x14ac:dyDescent="0.25">
      <c r="B63" s="2"/>
      <c r="C63" s="2"/>
      <c r="D63" s="11"/>
      <c r="E63" s="2"/>
      <c r="F63" s="1"/>
      <c r="G63" s="1"/>
      <c r="H63" s="63"/>
    </row>
    <row r="64" spans="2:8" s="10" customFormat="1" x14ac:dyDescent="0.25">
      <c r="B64" s="2"/>
      <c r="C64" s="2"/>
      <c r="D64" s="11"/>
      <c r="E64" s="2"/>
      <c r="F64" s="1"/>
      <c r="G64" s="1"/>
      <c r="H64" s="63"/>
    </row>
    <row r="65" spans="2:8" s="10" customFormat="1" x14ac:dyDescent="0.25">
      <c r="B65" s="2"/>
      <c r="C65" s="2"/>
      <c r="D65" s="11"/>
      <c r="E65" s="2"/>
      <c r="F65" s="1"/>
      <c r="G65" s="1"/>
      <c r="H65" s="63"/>
    </row>
    <row r="66" spans="2:8" s="10" customFormat="1" x14ac:dyDescent="0.25">
      <c r="B66" s="2"/>
      <c r="C66" s="2"/>
      <c r="D66" s="11"/>
      <c r="E66" s="2"/>
      <c r="F66" s="1"/>
      <c r="G66" s="1"/>
      <c r="H66" s="63"/>
    </row>
    <row r="67" spans="2:8" s="10" customFormat="1" x14ac:dyDescent="0.25">
      <c r="B67" s="2"/>
      <c r="C67" s="2"/>
      <c r="D67" s="11"/>
      <c r="E67" s="2"/>
      <c r="F67" s="1"/>
      <c r="G67" s="1"/>
      <c r="H67" s="63"/>
    </row>
    <row r="68" spans="2:8" s="10" customFormat="1" x14ac:dyDescent="0.25">
      <c r="B68" s="2"/>
      <c r="C68" s="2"/>
      <c r="D68" s="11"/>
      <c r="E68" s="2"/>
      <c r="F68" s="1"/>
      <c r="G68" s="1"/>
      <c r="H68" s="63"/>
    </row>
    <row r="69" spans="2:8" s="10" customFormat="1" x14ac:dyDescent="0.25">
      <c r="B69" s="2"/>
      <c r="C69" s="2"/>
      <c r="D69" s="11"/>
      <c r="E69" s="2"/>
      <c r="F69" s="1"/>
      <c r="G69" s="1"/>
      <c r="H69" s="63"/>
    </row>
    <row r="70" spans="2:8" s="10" customFormat="1" x14ac:dyDescent="0.25">
      <c r="B70" s="2"/>
      <c r="C70" s="2"/>
      <c r="D70" s="11"/>
      <c r="E70" s="2"/>
      <c r="F70" s="1"/>
      <c r="G70" s="1"/>
      <c r="H70" s="63"/>
    </row>
    <row r="71" spans="2:8" s="10" customFormat="1" x14ac:dyDescent="0.25">
      <c r="B71" s="2"/>
      <c r="C71" s="2"/>
      <c r="D71" s="11"/>
      <c r="E71" s="2"/>
      <c r="F71" s="1"/>
      <c r="G71" s="1"/>
      <c r="H71" s="63"/>
    </row>
    <row r="72" spans="2:8" s="10" customFormat="1" x14ac:dyDescent="0.25">
      <c r="B72" s="2"/>
      <c r="C72" s="2"/>
      <c r="D72" s="11"/>
      <c r="E72" s="2"/>
      <c r="F72" s="1"/>
      <c r="G72" s="1"/>
      <c r="H72" s="63"/>
    </row>
  </sheetData>
  <mergeCells count="3">
    <mergeCell ref="B3:H3"/>
    <mergeCell ref="B4:H5"/>
    <mergeCell ref="B2:H2"/>
  </mergeCells>
  <phoneticPr fontId="1" type="noConversion"/>
  <pageMargins left="0.25" right="0.25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48"/>
  <sheetViews>
    <sheetView topLeftCell="A11" zoomScale="130" zoomScaleNormal="130" workbookViewId="0">
      <selection activeCell="F30" sqref="F30"/>
    </sheetView>
  </sheetViews>
  <sheetFormatPr defaultRowHeight="14" x14ac:dyDescent="0.25"/>
  <cols>
    <col min="1" max="1" width="9" customWidth="1"/>
    <col min="2" max="2" width="11.90625" style="10" customWidth="1"/>
    <col min="3" max="3" width="8.453125" customWidth="1"/>
    <col min="4" max="4" width="8.7265625" style="13"/>
    <col min="6" max="6" width="36.08984375" customWidth="1"/>
    <col min="7" max="7" width="8.08984375" customWidth="1"/>
    <col min="9" max="9" width="37.90625" style="64" customWidth="1"/>
  </cols>
  <sheetData>
    <row r="1" spans="2:9" ht="14.5" thickBot="1" x14ac:dyDescent="0.3"/>
    <row r="2" spans="2:9" ht="14.5" customHeight="1" x14ac:dyDescent="0.25">
      <c r="B2" s="82" t="s">
        <v>256</v>
      </c>
      <c r="C2" s="83"/>
      <c r="D2" s="83"/>
      <c r="E2" s="83"/>
      <c r="F2" s="83"/>
      <c r="G2" s="83"/>
      <c r="H2" s="83"/>
      <c r="I2" s="84"/>
    </row>
    <row r="3" spans="2:9" ht="14.5" customHeight="1" x14ac:dyDescent="0.25">
      <c r="B3" s="85"/>
      <c r="C3" s="86"/>
      <c r="D3" s="86"/>
      <c r="E3" s="86"/>
      <c r="F3" s="86"/>
      <c r="G3" s="86"/>
      <c r="H3" s="86"/>
      <c r="I3" s="87"/>
    </row>
    <row r="4" spans="2:9" s="2" customFormat="1" ht="26" x14ac:dyDescent="0.25">
      <c r="B4" s="29" t="s">
        <v>2</v>
      </c>
      <c r="C4" s="65" t="s">
        <v>252</v>
      </c>
      <c r="D4" s="65" t="s">
        <v>253</v>
      </c>
      <c r="E4" s="65" t="s">
        <v>254</v>
      </c>
      <c r="F4" s="27" t="s">
        <v>0</v>
      </c>
      <c r="G4" s="27" t="s">
        <v>1</v>
      </c>
      <c r="H4" s="27" t="s">
        <v>172</v>
      </c>
      <c r="I4" s="66" t="s">
        <v>48</v>
      </c>
    </row>
    <row r="5" spans="2:9" ht="168.75" customHeight="1" x14ac:dyDescent="0.25">
      <c r="B5" s="5" t="s">
        <v>27</v>
      </c>
      <c r="C5" s="51" t="s">
        <v>11</v>
      </c>
      <c r="D5" s="52" t="s">
        <v>17</v>
      </c>
      <c r="E5" s="49">
        <v>1</v>
      </c>
      <c r="F5" s="7" t="s">
        <v>99</v>
      </c>
      <c r="G5" s="49" t="s">
        <v>4</v>
      </c>
      <c r="H5" s="49" t="s">
        <v>36</v>
      </c>
      <c r="I5" s="67" t="s">
        <v>261</v>
      </c>
    </row>
    <row r="6" spans="2:9" ht="85.5" x14ac:dyDescent="0.25">
      <c r="B6" s="5" t="s">
        <v>60</v>
      </c>
      <c r="C6" s="51" t="s">
        <v>11</v>
      </c>
      <c r="D6" s="52" t="s">
        <v>18</v>
      </c>
      <c r="E6" s="49">
        <v>1</v>
      </c>
      <c r="F6" s="7" t="s">
        <v>100</v>
      </c>
      <c r="G6" s="49" t="s">
        <v>4</v>
      </c>
      <c r="H6" s="49" t="s">
        <v>36</v>
      </c>
      <c r="I6" s="67" t="s">
        <v>229</v>
      </c>
    </row>
    <row r="7" spans="2:9" ht="95" x14ac:dyDescent="0.25">
      <c r="B7" s="5" t="s">
        <v>7</v>
      </c>
      <c r="C7" s="51" t="s">
        <v>11</v>
      </c>
      <c r="D7" s="52" t="s">
        <v>28</v>
      </c>
      <c r="E7" s="49">
        <v>20</v>
      </c>
      <c r="F7" s="71" t="s">
        <v>8</v>
      </c>
      <c r="G7" s="49" t="s">
        <v>4</v>
      </c>
      <c r="H7" s="49" t="s">
        <v>37</v>
      </c>
      <c r="I7" s="28" t="s">
        <v>178</v>
      </c>
    </row>
    <row r="8" spans="2:9" ht="28" x14ac:dyDescent="0.25">
      <c r="B8" s="30" t="s">
        <v>246</v>
      </c>
      <c r="C8" s="51" t="s">
        <v>11</v>
      </c>
      <c r="D8" s="52" t="s">
        <v>31</v>
      </c>
      <c r="E8" s="49" t="s">
        <v>16</v>
      </c>
      <c r="F8" s="7" t="s">
        <v>247</v>
      </c>
      <c r="G8" s="49" t="s">
        <v>4</v>
      </c>
      <c r="H8" s="49" t="s">
        <v>37</v>
      </c>
      <c r="I8" s="28" t="s">
        <v>243</v>
      </c>
    </row>
    <row r="9" spans="2:9" ht="98" x14ac:dyDescent="0.25">
      <c r="B9" s="30" t="s">
        <v>242</v>
      </c>
      <c r="C9" s="51" t="s">
        <v>11</v>
      </c>
      <c r="D9" s="52" t="s">
        <v>32</v>
      </c>
      <c r="E9" s="49" t="s">
        <v>16</v>
      </c>
      <c r="F9" s="7" t="s">
        <v>241</v>
      </c>
      <c r="G9" s="49" t="s">
        <v>4</v>
      </c>
      <c r="H9" s="49" t="s">
        <v>37</v>
      </c>
      <c r="I9" s="28" t="s">
        <v>257</v>
      </c>
    </row>
    <row r="10" spans="2:9" ht="85.5" x14ac:dyDescent="0.25">
      <c r="B10" s="30" t="s">
        <v>83</v>
      </c>
      <c r="C10" s="51" t="s">
        <v>11</v>
      </c>
      <c r="D10" s="52" t="s">
        <v>33</v>
      </c>
      <c r="E10" s="49" t="s">
        <v>16</v>
      </c>
      <c r="F10" s="69" t="s">
        <v>101</v>
      </c>
      <c r="G10" s="49" t="s">
        <v>4</v>
      </c>
      <c r="H10" s="49" t="s">
        <v>36</v>
      </c>
      <c r="I10" s="28" t="s">
        <v>63</v>
      </c>
    </row>
    <row r="11" spans="2:9" ht="85.5" x14ac:dyDescent="0.25">
      <c r="B11" s="5" t="s">
        <v>12</v>
      </c>
      <c r="C11" s="51" t="s">
        <v>11</v>
      </c>
      <c r="D11" s="52" t="s">
        <v>21</v>
      </c>
      <c r="E11" s="49">
        <v>18</v>
      </c>
      <c r="F11" s="71" t="s">
        <v>80</v>
      </c>
      <c r="G11" s="49" t="s">
        <v>4</v>
      </c>
      <c r="H11" s="49" t="s">
        <v>36</v>
      </c>
      <c r="I11" s="88" t="s">
        <v>202</v>
      </c>
    </row>
    <row r="12" spans="2:9" ht="85.5" x14ac:dyDescent="0.25">
      <c r="B12" s="5" t="s">
        <v>13</v>
      </c>
      <c r="C12" s="51" t="s">
        <v>11</v>
      </c>
      <c r="D12" s="52" t="s">
        <v>22</v>
      </c>
      <c r="E12" s="49">
        <v>18</v>
      </c>
      <c r="F12" s="69" t="s">
        <v>77</v>
      </c>
      <c r="G12" s="49" t="s">
        <v>4</v>
      </c>
      <c r="H12" s="49" t="s">
        <v>35</v>
      </c>
      <c r="I12" s="89"/>
    </row>
    <row r="13" spans="2:9" ht="85.5" x14ac:dyDescent="0.25">
      <c r="B13" s="5" t="s">
        <v>14</v>
      </c>
      <c r="C13" s="51" t="s">
        <v>11</v>
      </c>
      <c r="D13" s="52" t="s">
        <v>23</v>
      </c>
      <c r="E13" s="49">
        <v>18</v>
      </c>
      <c r="F13" s="72" t="s">
        <v>78</v>
      </c>
      <c r="G13" s="49" t="s">
        <v>4</v>
      </c>
      <c r="H13" s="49" t="s">
        <v>35</v>
      </c>
      <c r="I13" s="89"/>
    </row>
    <row r="14" spans="2:9" ht="85.5" x14ac:dyDescent="0.25">
      <c r="B14" s="5" t="s">
        <v>38</v>
      </c>
      <c r="C14" s="51" t="s">
        <v>11</v>
      </c>
      <c r="D14" s="52" t="s">
        <v>24</v>
      </c>
      <c r="E14" s="49">
        <v>18</v>
      </c>
      <c r="F14" s="72" t="s">
        <v>79</v>
      </c>
      <c r="G14" s="49" t="s">
        <v>4</v>
      </c>
      <c r="H14" s="49" t="s">
        <v>35</v>
      </c>
      <c r="I14" s="89"/>
    </row>
    <row r="15" spans="2:9" ht="85.5" x14ac:dyDescent="0.25">
      <c r="B15" s="5" t="s">
        <v>39</v>
      </c>
      <c r="C15" s="51" t="s">
        <v>11</v>
      </c>
      <c r="D15" s="52" t="s">
        <v>25</v>
      </c>
      <c r="E15" s="49">
        <v>18</v>
      </c>
      <c r="F15" s="72" t="s">
        <v>82</v>
      </c>
      <c r="G15" s="49" t="s">
        <v>4</v>
      </c>
      <c r="H15" s="49" t="s">
        <v>35</v>
      </c>
      <c r="I15" s="89"/>
    </row>
    <row r="16" spans="2:9" ht="85.5" x14ac:dyDescent="0.25">
      <c r="B16" s="5" t="s">
        <v>40</v>
      </c>
      <c r="C16" s="51" t="s">
        <v>11</v>
      </c>
      <c r="D16" s="52" t="s">
        <v>26</v>
      </c>
      <c r="E16" s="49">
        <v>18</v>
      </c>
      <c r="F16" s="72" t="s">
        <v>81</v>
      </c>
      <c r="G16" s="49" t="s">
        <v>4</v>
      </c>
      <c r="H16" s="49" t="s">
        <v>36</v>
      </c>
      <c r="I16" s="90"/>
    </row>
    <row r="17" spans="2:9" x14ac:dyDescent="0.25">
      <c r="B17" s="5" t="s">
        <v>119</v>
      </c>
      <c r="C17" s="51" t="s">
        <v>11</v>
      </c>
      <c r="D17" s="52" t="s">
        <v>76</v>
      </c>
      <c r="E17" s="49" t="s">
        <v>16</v>
      </c>
      <c r="F17" s="8" t="s">
        <v>120</v>
      </c>
      <c r="G17" s="49" t="s">
        <v>4</v>
      </c>
      <c r="H17" s="49"/>
      <c r="I17" s="28" t="s">
        <v>121</v>
      </c>
    </row>
    <row r="18" spans="2:9" x14ac:dyDescent="0.25">
      <c r="B18" s="5" t="s">
        <v>117</v>
      </c>
      <c r="C18" s="51" t="s">
        <v>11</v>
      </c>
      <c r="D18" s="52" t="s">
        <v>75</v>
      </c>
      <c r="E18" s="49" t="s">
        <v>16</v>
      </c>
      <c r="F18" s="50" t="s">
        <v>159</v>
      </c>
      <c r="G18" s="49" t="s">
        <v>4</v>
      </c>
      <c r="H18" s="49" t="s">
        <v>36</v>
      </c>
      <c r="I18" s="28" t="s">
        <v>122</v>
      </c>
    </row>
    <row r="19" spans="2:9" ht="133" x14ac:dyDescent="0.25">
      <c r="B19" s="53" t="s">
        <v>200</v>
      </c>
      <c r="C19" s="51" t="s">
        <v>11</v>
      </c>
      <c r="D19" s="52" t="s">
        <v>204</v>
      </c>
      <c r="E19" s="49" t="s">
        <v>16</v>
      </c>
      <c r="F19" s="71" t="s">
        <v>211</v>
      </c>
      <c r="G19" s="49" t="s">
        <v>4</v>
      </c>
      <c r="H19" s="49"/>
      <c r="I19" s="28" t="s">
        <v>260</v>
      </c>
    </row>
    <row r="20" spans="2:9" ht="57" x14ac:dyDescent="0.25">
      <c r="B20" s="53" t="s">
        <v>205</v>
      </c>
      <c r="C20" s="51" t="s">
        <v>11</v>
      </c>
      <c r="D20" s="52" t="s">
        <v>206</v>
      </c>
      <c r="E20" s="49" t="s">
        <v>16</v>
      </c>
      <c r="F20" s="71" t="s">
        <v>210</v>
      </c>
      <c r="G20" s="49" t="s">
        <v>4</v>
      </c>
      <c r="H20" s="49"/>
      <c r="I20" s="28" t="s">
        <v>212</v>
      </c>
    </row>
    <row r="21" spans="2:9" ht="114" x14ac:dyDescent="0.25">
      <c r="B21" s="46" t="s">
        <v>207</v>
      </c>
      <c r="C21" s="51" t="s">
        <v>11</v>
      </c>
      <c r="D21" s="52" t="s">
        <v>208</v>
      </c>
      <c r="E21" s="49" t="s">
        <v>16</v>
      </c>
      <c r="F21" s="71" t="s">
        <v>269</v>
      </c>
      <c r="G21" s="49" t="s">
        <v>4</v>
      </c>
      <c r="H21" s="49"/>
      <c r="I21" s="28"/>
    </row>
    <row r="22" spans="2:9" ht="152" x14ac:dyDescent="0.25">
      <c r="B22" s="70" t="s">
        <v>222</v>
      </c>
      <c r="C22" s="51" t="s">
        <v>11</v>
      </c>
      <c r="D22" s="52" t="s">
        <v>223</v>
      </c>
      <c r="E22" s="49" t="s">
        <v>16</v>
      </c>
      <c r="F22" s="69" t="s">
        <v>270</v>
      </c>
      <c r="G22" s="49" t="s">
        <v>4</v>
      </c>
      <c r="H22" s="49"/>
      <c r="I22" s="28"/>
    </row>
    <row r="23" spans="2:9" s="57" customFormat="1" ht="46.5" customHeight="1" x14ac:dyDescent="0.25">
      <c r="B23" s="68" t="s">
        <v>263</v>
      </c>
      <c r="C23" s="54" t="s">
        <v>11</v>
      </c>
      <c r="D23" s="55" t="s">
        <v>249</v>
      </c>
      <c r="E23" s="56" t="s">
        <v>16</v>
      </c>
      <c r="F23" s="58" t="s">
        <v>268</v>
      </c>
      <c r="G23" s="56" t="s">
        <v>4</v>
      </c>
      <c r="H23" s="56" t="s">
        <v>37</v>
      </c>
      <c r="I23" s="60" t="s">
        <v>262</v>
      </c>
    </row>
    <row r="24" spans="2:9" s="10" customFormat="1" ht="28" x14ac:dyDescent="0.25">
      <c r="B24" s="5" t="s">
        <v>170</v>
      </c>
      <c r="C24" s="51" t="s">
        <v>11</v>
      </c>
      <c r="D24" s="52" t="s">
        <v>146</v>
      </c>
      <c r="E24" s="49" t="s">
        <v>16</v>
      </c>
      <c r="F24" s="7" t="s">
        <v>175</v>
      </c>
      <c r="G24" s="49" t="s">
        <v>4</v>
      </c>
      <c r="H24" s="49" t="s">
        <v>37</v>
      </c>
      <c r="I24" s="28" t="s">
        <v>177</v>
      </c>
    </row>
    <row r="25" spans="2:9" s="10" customFormat="1" x14ac:dyDescent="0.25">
      <c r="D25" s="14"/>
      <c r="I25" s="64"/>
    </row>
    <row r="26" spans="2:9" s="10" customFormat="1" x14ac:dyDescent="0.25">
      <c r="B26" s="9"/>
      <c r="C26" s="9"/>
      <c r="D26" s="15"/>
      <c r="E26" s="9"/>
      <c r="F26" s="9"/>
      <c r="G26" s="9"/>
      <c r="H26" s="9"/>
      <c r="I26" s="64"/>
    </row>
    <row r="27" spans="2:9" s="10" customFormat="1" x14ac:dyDescent="0.25">
      <c r="B27" s="9"/>
      <c r="C27" s="9"/>
      <c r="D27" s="15"/>
      <c r="E27" s="9"/>
      <c r="F27" s="9"/>
      <c r="G27" s="9"/>
      <c r="H27" s="9"/>
      <c r="I27" s="64"/>
    </row>
    <row r="28" spans="2:9" s="10" customFormat="1" x14ac:dyDescent="0.25">
      <c r="B28" s="9"/>
      <c r="C28" s="9"/>
      <c r="D28" s="15"/>
      <c r="E28" s="9"/>
      <c r="F28" s="9"/>
      <c r="G28" s="9"/>
      <c r="H28" s="9"/>
      <c r="I28" s="64"/>
    </row>
    <row r="29" spans="2:9" s="10" customFormat="1" x14ac:dyDescent="0.25">
      <c r="B29" s="9"/>
      <c r="C29" s="9"/>
      <c r="D29" s="15"/>
      <c r="E29" s="9"/>
      <c r="F29" s="9"/>
      <c r="G29" s="9"/>
      <c r="H29" s="9"/>
      <c r="I29" s="64"/>
    </row>
    <row r="30" spans="2:9" s="10" customFormat="1" x14ac:dyDescent="0.25">
      <c r="B30" s="9"/>
      <c r="C30" s="9"/>
      <c r="D30" s="15"/>
      <c r="E30" s="9"/>
      <c r="F30" s="9"/>
      <c r="G30" s="9"/>
      <c r="H30" s="9"/>
      <c r="I30" s="64"/>
    </row>
    <row r="31" spans="2:9" s="10" customFormat="1" ht="14.5" customHeight="1" x14ac:dyDescent="0.25">
      <c r="I31" s="64"/>
    </row>
    <row r="32" spans="2:9" s="10" customFormat="1" x14ac:dyDescent="0.25">
      <c r="I32" s="64"/>
    </row>
    <row r="33" spans="2:9" s="10" customFormat="1" x14ac:dyDescent="0.25">
      <c r="I33" s="64"/>
    </row>
    <row r="34" spans="2:9" s="10" customFormat="1" x14ac:dyDescent="0.25">
      <c r="I34" s="64"/>
    </row>
    <row r="35" spans="2:9" s="10" customFormat="1" x14ac:dyDescent="0.25">
      <c r="I35" s="64"/>
    </row>
    <row r="36" spans="2:9" s="10" customFormat="1" x14ac:dyDescent="0.25">
      <c r="B36" s="9"/>
      <c r="C36" s="9"/>
      <c r="D36" s="15"/>
      <c r="E36" s="9"/>
      <c r="F36" s="9"/>
      <c r="G36" s="9"/>
      <c r="H36" s="9"/>
      <c r="I36" s="64"/>
    </row>
    <row r="37" spans="2:9" s="10" customFormat="1" x14ac:dyDescent="0.25">
      <c r="B37" s="9"/>
      <c r="C37" s="9"/>
      <c r="D37" s="15"/>
      <c r="E37" s="9"/>
      <c r="F37" s="9"/>
      <c r="G37" s="9"/>
      <c r="H37" s="9"/>
      <c r="I37" s="64"/>
    </row>
    <row r="38" spans="2:9" s="10" customFormat="1" x14ac:dyDescent="0.25">
      <c r="B38" s="9"/>
      <c r="C38" s="9"/>
      <c r="D38" s="15"/>
      <c r="E38" s="9"/>
      <c r="F38" s="9"/>
      <c r="G38" s="9"/>
      <c r="H38" s="9"/>
      <c r="I38" s="64"/>
    </row>
    <row r="39" spans="2:9" s="10" customFormat="1" x14ac:dyDescent="0.25">
      <c r="B39" s="9"/>
      <c r="C39" s="9"/>
      <c r="D39" s="15"/>
      <c r="E39" s="9"/>
      <c r="F39" s="9"/>
      <c r="G39" s="9"/>
      <c r="H39" s="9"/>
      <c r="I39" s="64"/>
    </row>
    <row r="40" spans="2:9" s="10" customFormat="1" x14ac:dyDescent="0.25">
      <c r="B40" s="9"/>
      <c r="C40" s="9"/>
      <c r="D40" s="15"/>
      <c r="E40" s="9"/>
      <c r="F40" s="9"/>
      <c r="G40" s="9"/>
      <c r="H40" s="9"/>
      <c r="I40" s="64"/>
    </row>
    <row r="41" spans="2:9" s="10" customFormat="1" x14ac:dyDescent="0.25">
      <c r="B41" s="9"/>
      <c r="C41" s="9"/>
      <c r="D41" s="15"/>
      <c r="E41" s="9"/>
      <c r="F41" s="9"/>
      <c r="G41" s="9"/>
      <c r="H41" s="9"/>
      <c r="I41" s="64"/>
    </row>
    <row r="42" spans="2:9" s="10" customFormat="1" x14ac:dyDescent="0.25">
      <c r="B42" s="9"/>
      <c r="C42" s="9"/>
      <c r="D42" s="15"/>
      <c r="E42" s="9"/>
      <c r="F42" s="9"/>
      <c r="G42" s="9"/>
      <c r="H42" s="9"/>
      <c r="I42" s="64"/>
    </row>
    <row r="43" spans="2:9" s="10" customFormat="1" x14ac:dyDescent="0.25">
      <c r="B43" s="9"/>
      <c r="C43" s="9"/>
      <c r="D43" s="15"/>
      <c r="E43" s="9"/>
      <c r="F43" s="9"/>
      <c r="G43" s="9"/>
      <c r="H43" s="9"/>
      <c r="I43" s="64"/>
    </row>
    <row r="44" spans="2:9" s="10" customFormat="1" x14ac:dyDescent="0.25">
      <c r="B44" s="9"/>
      <c r="C44" s="9"/>
      <c r="D44" s="15"/>
      <c r="E44" s="9"/>
      <c r="F44" s="9"/>
      <c r="G44" s="9"/>
      <c r="H44" s="9"/>
      <c r="I44" s="64"/>
    </row>
    <row r="45" spans="2:9" s="10" customFormat="1" x14ac:dyDescent="0.25">
      <c r="B45" s="9"/>
      <c r="C45" s="9"/>
      <c r="D45" s="15"/>
      <c r="E45" s="9"/>
      <c r="F45" s="9"/>
      <c r="G45" s="9"/>
      <c r="H45" s="9"/>
      <c r="I45" s="64"/>
    </row>
    <row r="46" spans="2:9" x14ac:dyDescent="0.25">
      <c r="B46" s="9"/>
      <c r="C46" s="9"/>
      <c r="D46" s="15"/>
      <c r="E46" s="9"/>
      <c r="F46" s="9"/>
      <c r="G46" s="9"/>
      <c r="H46" s="9"/>
    </row>
    <row r="47" spans="2:9" x14ac:dyDescent="0.25">
      <c r="B47" s="9"/>
      <c r="C47" s="9"/>
      <c r="D47" s="15"/>
      <c r="E47" s="9"/>
      <c r="F47" s="9"/>
      <c r="G47" s="9"/>
      <c r="H47" s="9"/>
    </row>
    <row r="48" spans="2:9" x14ac:dyDescent="0.25">
      <c r="B48" s="9"/>
      <c r="C48" s="9"/>
      <c r="D48" s="15"/>
      <c r="E48" s="9"/>
      <c r="F48" s="9"/>
      <c r="G48" s="9"/>
      <c r="H48" s="9"/>
    </row>
  </sheetData>
  <mergeCells count="2">
    <mergeCell ref="B2:I3"/>
    <mergeCell ref="I11:I16"/>
  </mergeCells>
  <phoneticPr fontId="1" type="noConversion"/>
  <pageMargins left="0.25" right="0.25" top="0.75" bottom="0.75" header="0.3" footer="0.3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153"/>
  <sheetViews>
    <sheetView workbookViewId="0">
      <selection activeCell="H5" sqref="H5"/>
    </sheetView>
  </sheetViews>
  <sheetFormatPr defaultRowHeight="14" x14ac:dyDescent="0.25"/>
  <cols>
    <col min="1" max="1" width="9" customWidth="1"/>
    <col min="3" max="3" width="21.6328125" customWidth="1"/>
    <col min="4" max="4" width="38.7265625" style="13" customWidth="1"/>
    <col min="7" max="7" width="11.453125" customWidth="1"/>
    <col min="9" max="9" width="12.453125" customWidth="1"/>
  </cols>
  <sheetData>
    <row r="1" spans="3:7" ht="14.5" thickBot="1" x14ac:dyDescent="0.3"/>
    <row r="2" spans="3:7" x14ac:dyDescent="0.25">
      <c r="C2" s="96" t="s">
        <v>57</v>
      </c>
      <c r="D2" s="97"/>
      <c r="E2" s="97"/>
      <c r="F2" s="97"/>
      <c r="G2" s="98"/>
    </row>
    <row r="3" spans="3:7" x14ac:dyDescent="0.25">
      <c r="C3" s="33" t="s">
        <v>58</v>
      </c>
      <c r="D3" s="34" t="s">
        <v>48</v>
      </c>
      <c r="E3" s="34" t="s">
        <v>45</v>
      </c>
      <c r="F3" s="34" t="s">
        <v>46</v>
      </c>
      <c r="G3" s="35" t="s">
        <v>50</v>
      </c>
    </row>
    <row r="4" spans="3:7" x14ac:dyDescent="0.25">
      <c r="C4" s="17" t="s">
        <v>155</v>
      </c>
      <c r="D4" s="16"/>
      <c r="E4" s="16" t="s">
        <v>111</v>
      </c>
      <c r="F4" s="16">
        <v>1</v>
      </c>
      <c r="G4" s="18"/>
    </row>
    <row r="5" spans="3:7" x14ac:dyDescent="0.25">
      <c r="C5" s="17" t="s">
        <v>156</v>
      </c>
      <c r="D5" s="16"/>
      <c r="E5" s="16" t="s">
        <v>111</v>
      </c>
      <c r="F5" s="16">
        <v>1</v>
      </c>
      <c r="G5" s="18"/>
    </row>
    <row r="6" spans="3:7" x14ac:dyDescent="0.25">
      <c r="C6" s="17" t="s">
        <v>42</v>
      </c>
      <c r="D6" s="16" t="s">
        <v>188</v>
      </c>
      <c r="E6" s="16" t="s">
        <v>55</v>
      </c>
      <c r="F6" s="16">
        <v>4</v>
      </c>
      <c r="G6" s="18" t="s">
        <v>169</v>
      </c>
    </row>
    <row r="7" spans="3:7" x14ac:dyDescent="0.25">
      <c r="C7" s="17" t="s">
        <v>43</v>
      </c>
      <c r="D7" s="16" t="s">
        <v>189</v>
      </c>
      <c r="E7" s="16" t="s">
        <v>55</v>
      </c>
      <c r="F7" s="16">
        <v>4</v>
      </c>
      <c r="G7" s="18" t="s">
        <v>169</v>
      </c>
    </row>
    <row r="8" spans="3:7" x14ac:dyDescent="0.25">
      <c r="C8" s="17" t="s">
        <v>190</v>
      </c>
      <c r="D8" s="22" t="s">
        <v>191</v>
      </c>
      <c r="E8" s="16" t="s">
        <v>49</v>
      </c>
      <c r="F8" s="16">
        <v>2</v>
      </c>
      <c r="G8" s="18" t="s">
        <v>52</v>
      </c>
    </row>
    <row r="9" spans="3:7" ht="14.5" thickBot="1" x14ac:dyDescent="0.3">
      <c r="C9" s="19"/>
      <c r="D9" s="20"/>
      <c r="E9" s="20"/>
      <c r="F9" s="20"/>
      <c r="G9" s="21"/>
    </row>
    <row r="12" spans="3:7" ht="14.5" thickBot="1" x14ac:dyDescent="0.3"/>
    <row r="13" spans="3:7" x14ac:dyDescent="0.25">
      <c r="C13" s="93" t="s">
        <v>59</v>
      </c>
      <c r="D13" s="94"/>
      <c r="E13" s="94"/>
      <c r="F13" s="94"/>
      <c r="G13" s="95"/>
    </row>
    <row r="14" spans="3:7" x14ac:dyDescent="0.25">
      <c r="C14" s="33" t="s">
        <v>58</v>
      </c>
      <c r="D14" s="34" t="s">
        <v>48</v>
      </c>
      <c r="E14" s="34" t="s">
        <v>45</v>
      </c>
      <c r="F14" s="34" t="s">
        <v>46</v>
      </c>
      <c r="G14" s="35" t="s">
        <v>138</v>
      </c>
    </row>
    <row r="15" spans="3:7" x14ac:dyDescent="0.25">
      <c r="C15" s="17" t="s">
        <v>124</v>
      </c>
      <c r="D15" s="22"/>
      <c r="E15" s="16" t="s">
        <v>54</v>
      </c>
      <c r="F15" s="16">
        <v>2</v>
      </c>
      <c r="G15" s="18"/>
    </row>
    <row r="16" spans="3:7" x14ac:dyDescent="0.25">
      <c r="C16" s="17" t="s">
        <v>125</v>
      </c>
      <c r="D16" s="22"/>
      <c r="E16" s="16" t="s">
        <v>126</v>
      </c>
      <c r="F16" s="16">
        <v>4</v>
      </c>
      <c r="G16" s="18"/>
    </row>
    <row r="17" spans="3:8" x14ac:dyDescent="0.25">
      <c r="C17" s="17" t="s">
        <v>127</v>
      </c>
      <c r="D17" s="22"/>
      <c r="E17" s="16" t="s">
        <v>126</v>
      </c>
      <c r="F17" s="16">
        <v>4</v>
      </c>
      <c r="G17" s="18"/>
    </row>
    <row r="18" spans="3:8" x14ac:dyDescent="0.25">
      <c r="C18" s="17" t="s">
        <v>44</v>
      </c>
      <c r="D18" s="22" t="s">
        <v>128</v>
      </c>
      <c r="E18" s="16" t="s">
        <v>55</v>
      </c>
      <c r="F18" s="16">
        <v>4</v>
      </c>
      <c r="G18" s="18" t="s">
        <v>51</v>
      </c>
    </row>
    <row r="19" spans="3:8" x14ac:dyDescent="0.25">
      <c r="C19" s="17" t="s">
        <v>47</v>
      </c>
      <c r="D19" s="22"/>
      <c r="E19" s="16" t="s">
        <v>123</v>
      </c>
      <c r="F19" s="16">
        <v>1</v>
      </c>
      <c r="G19" s="18"/>
    </row>
    <row r="20" spans="3:8" x14ac:dyDescent="0.25">
      <c r="C20" s="17" t="s">
        <v>129</v>
      </c>
      <c r="D20" s="22"/>
      <c r="E20" s="16" t="s">
        <v>111</v>
      </c>
      <c r="F20" s="16">
        <v>1</v>
      </c>
      <c r="G20" s="18"/>
    </row>
    <row r="21" spans="3:8" x14ac:dyDescent="0.25">
      <c r="C21" s="17" t="s">
        <v>130</v>
      </c>
      <c r="D21" s="22"/>
      <c r="E21" s="16" t="s">
        <v>131</v>
      </c>
      <c r="F21" s="16">
        <v>1</v>
      </c>
      <c r="G21" s="18"/>
    </row>
    <row r="22" spans="3:8" x14ac:dyDescent="0.25">
      <c r="C22" s="17" t="s">
        <v>132</v>
      </c>
      <c r="D22" s="22"/>
      <c r="E22" s="16" t="s">
        <v>131</v>
      </c>
      <c r="F22" s="16">
        <v>1</v>
      </c>
      <c r="G22" s="18"/>
    </row>
    <row r="23" spans="3:8" x14ac:dyDescent="0.25">
      <c r="C23" s="17" t="s">
        <v>133</v>
      </c>
      <c r="D23" s="22"/>
      <c r="E23" s="16" t="s">
        <v>123</v>
      </c>
      <c r="F23" s="16">
        <v>1</v>
      </c>
      <c r="G23" s="18"/>
    </row>
    <row r="24" spans="3:8" x14ac:dyDescent="0.25">
      <c r="C24" s="17" t="s">
        <v>134</v>
      </c>
      <c r="D24" s="22"/>
      <c r="E24" s="16" t="s">
        <v>54</v>
      </c>
      <c r="F24" s="16">
        <v>2</v>
      </c>
      <c r="G24" s="18" t="s">
        <v>53</v>
      </c>
    </row>
    <row r="25" spans="3:8" x14ac:dyDescent="0.25">
      <c r="C25" s="17" t="s">
        <v>135</v>
      </c>
      <c r="D25" s="22"/>
      <c r="E25" s="16" t="s">
        <v>136</v>
      </c>
      <c r="F25" s="16">
        <v>2</v>
      </c>
      <c r="G25" s="18" t="s">
        <v>53</v>
      </c>
    </row>
    <row r="26" spans="3:8" x14ac:dyDescent="0.25">
      <c r="C26" s="17" t="s">
        <v>137</v>
      </c>
      <c r="D26" s="22" t="s">
        <v>56</v>
      </c>
      <c r="E26" s="16" t="s">
        <v>54</v>
      </c>
      <c r="F26" s="16">
        <v>2</v>
      </c>
      <c r="G26" s="18" t="s">
        <v>52</v>
      </c>
    </row>
    <row r="27" spans="3:8" ht="14.5" thickBot="1" x14ac:dyDescent="0.3">
      <c r="C27" s="19"/>
      <c r="D27" s="23"/>
      <c r="E27" s="20"/>
      <c r="F27" s="20">
        <f>SUM(F15:F26)</f>
        <v>25</v>
      </c>
      <c r="G27" s="21"/>
    </row>
    <row r="28" spans="3:8" ht="14.5" thickBot="1" x14ac:dyDescent="0.3">
      <c r="C28" s="31"/>
      <c r="D28" s="32"/>
      <c r="E28" s="31"/>
      <c r="F28" s="31"/>
      <c r="G28" s="31"/>
    </row>
    <row r="29" spans="3:8" x14ac:dyDescent="0.25">
      <c r="C29" s="96" t="s">
        <v>157</v>
      </c>
      <c r="D29" s="97"/>
      <c r="E29" s="97"/>
      <c r="F29" s="97"/>
      <c r="G29" s="97"/>
      <c r="H29" s="98"/>
    </row>
    <row r="30" spans="3:8" x14ac:dyDescent="0.25">
      <c r="C30" s="33" t="s">
        <v>139</v>
      </c>
      <c r="D30" s="34" t="s">
        <v>48</v>
      </c>
      <c r="E30" s="34" t="s">
        <v>140</v>
      </c>
      <c r="F30" s="34" t="s">
        <v>141</v>
      </c>
      <c r="G30" s="34" t="s">
        <v>142</v>
      </c>
      <c r="H30" s="35" t="s">
        <v>143</v>
      </c>
    </row>
    <row r="31" spans="3:8" x14ac:dyDescent="0.25">
      <c r="C31" s="17"/>
      <c r="D31" s="22"/>
      <c r="E31" s="16"/>
      <c r="F31" s="16"/>
      <c r="G31" s="16"/>
      <c r="H31" s="18"/>
    </row>
    <row r="32" spans="3:8" x14ac:dyDescent="0.25">
      <c r="C32" s="17"/>
      <c r="D32" s="22"/>
      <c r="E32" s="16"/>
      <c r="F32" s="16"/>
      <c r="G32" s="16"/>
      <c r="H32" s="18"/>
    </row>
    <row r="33" spans="3:8" x14ac:dyDescent="0.25">
      <c r="C33" s="17"/>
      <c r="D33" s="22"/>
      <c r="E33" s="16"/>
      <c r="F33" s="16"/>
      <c r="G33" s="16"/>
      <c r="H33" s="18"/>
    </row>
    <row r="34" spans="3:8" x14ac:dyDescent="0.25">
      <c r="C34" s="17"/>
      <c r="D34" s="22"/>
      <c r="E34" s="16"/>
      <c r="F34" s="16"/>
      <c r="G34" s="16"/>
      <c r="H34" s="18"/>
    </row>
    <row r="35" spans="3:8" x14ac:dyDescent="0.25">
      <c r="C35" s="17"/>
      <c r="D35" s="22"/>
      <c r="E35" s="16"/>
      <c r="F35" s="16"/>
      <c r="G35" s="16"/>
      <c r="H35" s="18"/>
    </row>
    <row r="36" spans="3:8" x14ac:dyDescent="0.25">
      <c r="C36" s="17"/>
      <c r="D36" s="22"/>
      <c r="E36" s="16"/>
      <c r="F36" s="16"/>
      <c r="G36" s="16"/>
      <c r="H36" s="18"/>
    </row>
    <row r="37" spans="3:8" x14ac:dyDescent="0.25">
      <c r="C37" s="17"/>
      <c r="D37" s="22"/>
      <c r="E37" s="16"/>
      <c r="F37" s="16"/>
      <c r="G37" s="16"/>
      <c r="H37" s="18"/>
    </row>
    <row r="38" spans="3:8" ht="14.5" thickBot="1" x14ac:dyDescent="0.3">
      <c r="C38" s="19"/>
      <c r="D38" s="23"/>
      <c r="E38" s="20"/>
      <c r="F38" s="20"/>
      <c r="G38" s="20"/>
      <c r="H38" s="21"/>
    </row>
    <row r="39" spans="3:8" ht="14.5" thickBot="1" x14ac:dyDescent="0.3"/>
    <row r="40" spans="3:8" x14ac:dyDescent="0.25">
      <c r="C40" s="93" t="s">
        <v>63</v>
      </c>
      <c r="D40" s="94"/>
    </row>
    <row r="41" spans="3:8" x14ac:dyDescent="0.25">
      <c r="C41" s="26" t="s">
        <v>71</v>
      </c>
      <c r="D41" s="24" t="s">
        <v>74</v>
      </c>
    </row>
    <row r="42" spans="3:8" x14ac:dyDescent="0.25">
      <c r="C42" s="17" t="s">
        <v>64</v>
      </c>
      <c r="D42" s="24" t="s">
        <v>72</v>
      </c>
    </row>
    <row r="43" spans="3:8" x14ac:dyDescent="0.25">
      <c r="C43" s="17" t="s">
        <v>65</v>
      </c>
      <c r="D43" s="24" t="s">
        <v>70</v>
      </c>
    </row>
    <row r="44" spans="3:8" x14ac:dyDescent="0.25">
      <c r="C44" s="17" t="s">
        <v>66</v>
      </c>
      <c r="D44" s="24" t="s">
        <v>73</v>
      </c>
    </row>
    <row r="45" spans="3:8" x14ac:dyDescent="0.25">
      <c r="C45" s="17" t="s">
        <v>67</v>
      </c>
      <c r="D45" s="24" t="s">
        <v>116</v>
      </c>
    </row>
    <row r="46" spans="3:8" x14ac:dyDescent="0.25">
      <c r="C46" s="17" t="s">
        <v>68</v>
      </c>
      <c r="D46" s="24" t="s">
        <v>76</v>
      </c>
    </row>
    <row r="47" spans="3:8" ht="14.5" thickBot="1" x14ac:dyDescent="0.3">
      <c r="C47" s="19" t="s">
        <v>69</v>
      </c>
      <c r="D47" s="25" t="s">
        <v>75</v>
      </c>
    </row>
    <row r="50" spans="3:4" ht="14.5" thickBot="1" x14ac:dyDescent="0.3"/>
    <row r="51" spans="3:4" x14ac:dyDescent="0.25">
      <c r="C51" s="96" t="s">
        <v>106</v>
      </c>
      <c r="D51" s="98"/>
    </row>
    <row r="52" spans="3:4" x14ac:dyDescent="0.25">
      <c r="C52" s="17" t="s">
        <v>145</v>
      </c>
      <c r="D52" s="24" t="s">
        <v>74</v>
      </c>
    </row>
    <row r="53" spans="3:4" x14ac:dyDescent="0.25">
      <c r="C53" s="17" t="s">
        <v>179</v>
      </c>
      <c r="D53" s="24" t="s">
        <v>107</v>
      </c>
    </row>
    <row r="54" spans="3:4" x14ac:dyDescent="0.25">
      <c r="C54" s="17" t="s">
        <v>180</v>
      </c>
      <c r="D54" s="24" t="s">
        <v>108</v>
      </c>
    </row>
    <row r="55" spans="3:4" x14ac:dyDescent="0.25">
      <c r="C55" s="17" t="s">
        <v>181</v>
      </c>
      <c r="D55" s="24" t="s">
        <v>109</v>
      </c>
    </row>
    <row r="56" spans="3:4" x14ac:dyDescent="0.25">
      <c r="C56" s="17" t="s">
        <v>182</v>
      </c>
      <c r="D56" s="24" t="s">
        <v>19</v>
      </c>
    </row>
    <row r="57" spans="3:4" x14ac:dyDescent="0.25">
      <c r="C57" s="17" t="s">
        <v>183</v>
      </c>
      <c r="D57" s="24" t="s">
        <v>29</v>
      </c>
    </row>
    <row r="58" spans="3:4" x14ac:dyDescent="0.25">
      <c r="C58" s="44" t="s">
        <v>194</v>
      </c>
      <c r="D58" s="45" t="s">
        <v>193</v>
      </c>
    </row>
    <row r="59" spans="3:4" x14ac:dyDescent="0.25">
      <c r="C59" s="44" t="s">
        <v>195</v>
      </c>
      <c r="D59" s="45" t="s">
        <v>22</v>
      </c>
    </row>
    <row r="60" spans="3:4" x14ac:dyDescent="0.25">
      <c r="C60" s="44" t="s">
        <v>213</v>
      </c>
      <c r="D60" s="45" t="s">
        <v>248</v>
      </c>
    </row>
    <row r="61" spans="3:4" ht="14.5" thickBot="1" x14ac:dyDescent="0.3">
      <c r="C61" s="19" t="s">
        <v>201</v>
      </c>
      <c r="D61" s="25" t="s">
        <v>199</v>
      </c>
    </row>
    <row r="64" spans="3:4" x14ac:dyDescent="0.25">
      <c r="C64" s="91" t="s">
        <v>171</v>
      </c>
      <c r="D64" s="91"/>
    </row>
    <row r="65" spans="3:4" x14ac:dyDescent="0.25">
      <c r="C65" s="91" t="s">
        <v>173</v>
      </c>
      <c r="D65" s="91"/>
    </row>
    <row r="66" spans="3:4" x14ac:dyDescent="0.25">
      <c r="C66" s="92" t="s">
        <v>174</v>
      </c>
      <c r="D66" s="92"/>
    </row>
    <row r="67" spans="3:4" x14ac:dyDescent="0.25">
      <c r="C67" s="92" t="s">
        <v>176</v>
      </c>
      <c r="D67" s="92"/>
    </row>
    <row r="68" spans="3:4" x14ac:dyDescent="0.25">
      <c r="C68" s="13"/>
    </row>
    <row r="69" spans="3:4" x14ac:dyDescent="0.25">
      <c r="C69" s="13"/>
    </row>
    <row r="70" spans="3:4" x14ac:dyDescent="0.25">
      <c r="C70" s="13"/>
    </row>
    <row r="71" spans="3:4" x14ac:dyDescent="0.25">
      <c r="C71" s="13"/>
    </row>
    <row r="72" spans="3:4" x14ac:dyDescent="0.25">
      <c r="C72" s="13"/>
    </row>
    <row r="73" spans="3:4" x14ac:dyDescent="0.25">
      <c r="C73" s="13"/>
    </row>
    <row r="74" spans="3:4" x14ac:dyDescent="0.25">
      <c r="C74" s="13"/>
    </row>
    <row r="75" spans="3:4" x14ac:dyDescent="0.25">
      <c r="C75" s="13"/>
    </row>
    <row r="76" spans="3:4" x14ac:dyDescent="0.25">
      <c r="C76" s="13"/>
    </row>
    <row r="77" spans="3:4" x14ac:dyDescent="0.25">
      <c r="C77" s="13"/>
    </row>
    <row r="78" spans="3:4" x14ac:dyDescent="0.25">
      <c r="C78" s="13"/>
    </row>
    <row r="79" spans="3:4" x14ac:dyDescent="0.25">
      <c r="C79" s="13"/>
    </row>
    <row r="80" spans="3:4" x14ac:dyDescent="0.25">
      <c r="C80" s="13"/>
    </row>
    <row r="81" spans="3:3" x14ac:dyDescent="0.25">
      <c r="C81" s="13"/>
    </row>
    <row r="82" spans="3:3" x14ac:dyDescent="0.25">
      <c r="C82" s="13"/>
    </row>
    <row r="83" spans="3:3" x14ac:dyDescent="0.25">
      <c r="C83" s="13"/>
    </row>
    <row r="84" spans="3:3" x14ac:dyDescent="0.25">
      <c r="C84" s="13"/>
    </row>
    <row r="85" spans="3:3" x14ac:dyDescent="0.25">
      <c r="C85" s="13"/>
    </row>
    <row r="86" spans="3:3" x14ac:dyDescent="0.25">
      <c r="C86" s="13"/>
    </row>
    <row r="87" spans="3:3" x14ac:dyDescent="0.25">
      <c r="C87" s="13"/>
    </row>
    <row r="88" spans="3:3" x14ac:dyDescent="0.25">
      <c r="C88" s="13"/>
    </row>
    <row r="89" spans="3:3" x14ac:dyDescent="0.25">
      <c r="C89" s="13"/>
    </row>
    <row r="90" spans="3:3" x14ac:dyDescent="0.25">
      <c r="C90" s="13"/>
    </row>
    <row r="91" spans="3:3" x14ac:dyDescent="0.25">
      <c r="C91" s="13"/>
    </row>
    <row r="92" spans="3:3" x14ac:dyDescent="0.25">
      <c r="C92" s="13"/>
    </row>
    <row r="93" spans="3:3" x14ac:dyDescent="0.25">
      <c r="C93" s="13"/>
    </row>
    <row r="94" spans="3:3" x14ac:dyDescent="0.25">
      <c r="C94" s="13"/>
    </row>
    <row r="95" spans="3:3" x14ac:dyDescent="0.25">
      <c r="C95" s="13"/>
    </row>
    <row r="96" spans="3:3" x14ac:dyDescent="0.25">
      <c r="C96" s="13"/>
    </row>
    <row r="97" spans="3:3" x14ac:dyDescent="0.25">
      <c r="C97" s="13"/>
    </row>
    <row r="98" spans="3:3" x14ac:dyDescent="0.25">
      <c r="C98" s="13"/>
    </row>
    <row r="99" spans="3:3" x14ac:dyDescent="0.25">
      <c r="C99" s="13"/>
    </row>
    <row r="100" spans="3:3" x14ac:dyDescent="0.25">
      <c r="C100" s="13"/>
    </row>
    <row r="101" spans="3:3" x14ac:dyDescent="0.25">
      <c r="C101" s="13"/>
    </row>
    <row r="102" spans="3:3" x14ac:dyDescent="0.25">
      <c r="C102" s="13"/>
    </row>
    <row r="103" spans="3:3" x14ac:dyDescent="0.25">
      <c r="C103" s="13"/>
    </row>
    <row r="104" spans="3:3" x14ac:dyDescent="0.25">
      <c r="C104" s="13"/>
    </row>
    <row r="105" spans="3:3" x14ac:dyDescent="0.25">
      <c r="C105" s="13"/>
    </row>
    <row r="106" spans="3:3" x14ac:dyDescent="0.25">
      <c r="C106" s="13"/>
    </row>
    <row r="107" spans="3:3" x14ac:dyDescent="0.25">
      <c r="C107" s="13"/>
    </row>
    <row r="108" spans="3:3" x14ac:dyDescent="0.25">
      <c r="C108" s="13"/>
    </row>
    <row r="109" spans="3:3" x14ac:dyDescent="0.25">
      <c r="C109" s="13"/>
    </row>
    <row r="110" spans="3:3" x14ac:dyDescent="0.25">
      <c r="C110" s="13"/>
    </row>
    <row r="111" spans="3:3" x14ac:dyDescent="0.25">
      <c r="C111" s="13"/>
    </row>
    <row r="112" spans="3:3" x14ac:dyDescent="0.25">
      <c r="C112" s="13"/>
    </row>
    <row r="113" spans="3:3" x14ac:dyDescent="0.25">
      <c r="C113" s="13"/>
    </row>
    <row r="114" spans="3:3" x14ac:dyDescent="0.25">
      <c r="C114" s="13"/>
    </row>
    <row r="115" spans="3:3" x14ac:dyDescent="0.25">
      <c r="C115" s="13"/>
    </row>
    <row r="116" spans="3:3" x14ac:dyDescent="0.25">
      <c r="C116" s="13"/>
    </row>
    <row r="117" spans="3:3" x14ac:dyDescent="0.25">
      <c r="C117" s="13"/>
    </row>
    <row r="118" spans="3:3" x14ac:dyDescent="0.25">
      <c r="C118" s="13"/>
    </row>
    <row r="119" spans="3:3" x14ac:dyDescent="0.25">
      <c r="C119" s="13"/>
    </row>
    <row r="120" spans="3:3" x14ac:dyDescent="0.25">
      <c r="C120" s="13"/>
    </row>
    <row r="121" spans="3:3" x14ac:dyDescent="0.25">
      <c r="C121" s="13"/>
    </row>
    <row r="122" spans="3:3" x14ac:dyDescent="0.25">
      <c r="C122" s="13"/>
    </row>
    <row r="123" spans="3:3" x14ac:dyDescent="0.25">
      <c r="C123" s="13"/>
    </row>
    <row r="124" spans="3:3" x14ac:dyDescent="0.25">
      <c r="C124" s="13"/>
    </row>
    <row r="125" spans="3:3" x14ac:dyDescent="0.25">
      <c r="C125" s="13"/>
    </row>
    <row r="126" spans="3:3" x14ac:dyDescent="0.25">
      <c r="C126" s="13"/>
    </row>
    <row r="127" spans="3:3" x14ac:dyDescent="0.25">
      <c r="C127" s="13"/>
    </row>
    <row r="128" spans="3:3" x14ac:dyDescent="0.25">
      <c r="C128" s="13"/>
    </row>
    <row r="129" spans="3:3" x14ac:dyDescent="0.25">
      <c r="C129" s="13"/>
    </row>
    <row r="130" spans="3:3" x14ac:dyDescent="0.25">
      <c r="C130" s="13"/>
    </row>
    <row r="131" spans="3:3" x14ac:dyDescent="0.25">
      <c r="C131" s="13"/>
    </row>
    <row r="132" spans="3:3" x14ac:dyDescent="0.25">
      <c r="C132" s="13"/>
    </row>
    <row r="133" spans="3:3" x14ac:dyDescent="0.25">
      <c r="C133" s="13"/>
    </row>
    <row r="134" spans="3:3" x14ac:dyDescent="0.25">
      <c r="C134" s="13"/>
    </row>
    <row r="135" spans="3:3" x14ac:dyDescent="0.25">
      <c r="C135" s="13"/>
    </row>
    <row r="136" spans="3:3" x14ac:dyDescent="0.25">
      <c r="C136" s="13"/>
    </row>
    <row r="137" spans="3:3" x14ac:dyDescent="0.25">
      <c r="C137" s="13"/>
    </row>
    <row r="138" spans="3:3" x14ac:dyDescent="0.25">
      <c r="C138" s="13"/>
    </row>
    <row r="139" spans="3:3" x14ac:dyDescent="0.25">
      <c r="C139" s="13"/>
    </row>
    <row r="140" spans="3:3" x14ac:dyDescent="0.25">
      <c r="C140" s="13"/>
    </row>
    <row r="141" spans="3:3" x14ac:dyDescent="0.25">
      <c r="C141" s="13"/>
    </row>
    <row r="142" spans="3:3" x14ac:dyDescent="0.25">
      <c r="C142" s="13"/>
    </row>
    <row r="143" spans="3:3" x14ac:dyDescent="0.25">
      <c r="C143" s="13"/>
    </row>
    <row r="144" spans="3:3" x14ac:dyDescent="0.25">
      <c r="C144" s="13"/>
    </row>
    <row r="145" spans="3:3" x14ac:dyDescent="0.25">
      <c r="C145" s="13"/>
    </row>
    <row r="146" spans="3:3" x14ac:dyDescent="0.25">
      <c r="C146" s="13"/>
    </row>
    <row r="147" spans="3:3" x14ac:dyDescent="0.25">
      <c r="C147" s="13"/>
    </row>
    <row r="148" spans="3:3" x14ac:dyDescent="0.25">
      <c r="C148" s="13"/>
    </row>
    <row r="149" spans="3:3" x14ac:dyDescent="0.25">
      <c r="C149" s="13"/>
    </row>
    <row r="150" spans="3:3" x14ac:dyDescent="0.25">
      <c r="C150" s="13"/>
    </row>
    <row r="151" spans="3:3" x14ac:dyDescent="0.25">
      <c r="C151" s="13"/>
    </row>
    <row r="152" spans="3:3" x14ac:dyDescent="0.25">
      <c r="C152" s="13"/>
    </row>
    <row r="153" spans="3:3" x14ac:dyDescent="0.25">
      <c r="C153" s="13"/>
    </row>
  </sheetData>
  <mergeCells count="9">
    <mergeCell ref="C65:D65"/>
    <mergeCell ref="C66:D66"/>
    <mergeCell ref="C67:D67"/>
    <mergeCell ref="C13:G13"/>
    <mergeCell ref="C2:G2"/>
    <mergeCell ref="C40:D40"/>
    <mergeCell ref="C51:D51"/>
    <mergeCell ref="C29:H29"/>
    <mergeCell ref="C64:D6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飞控发</vt:lpstr>
      <vt:lpstr>飞控收</vt:lpstr>
      <vt:lpstr>数据定义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2024-03-21T03:34:00Z</dcterms:modified>
</cp:coreProperties>
</file>